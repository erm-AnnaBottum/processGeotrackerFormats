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heermgroupnam-my.sharepoint.com/personal/anna_bottum_erm_com/Documents/PROJECTS/ExxonMobil/Exxon EQuIS Impltn/Geotracker/processGeotrackerFormats/reference/"/>
    </mc:Choice>
  </mc:AlternateContent>
  <xr:revisionPtr revIDLastSave="190" documentId="8_{A62F3D9D-7146-497A-9281-1F1D7806AD59}" xr6:coauthVersionLast="47" xr6:coauthVersionMax="47" xr10:uidLastSave="{1AFF28DD-5BDE-4BAA-94BD-A1537701423D}"/>
  <bookViews>
    <workbookView xWindow="14295" yWindow="0" windowWidth="14610" windowHeight="17385" tabRatio="844" firstSheet="2" activeTab="5" xr2:uid="{3288CE62-933B-384A-B492-E3C744E67A6A}"/>
  </bookViews>
  <sheets>
    <sheet name="remap_guide-analyte" sheetId="2" r:id="rId1"/>
    <sheet name="remap_guide-anl_method" sheetId="4" r:id="rId2"/>
    <sheet name="remap_guide-matrix" sheetId="5" r:id="rId3"/>
    <sheet name="remap_guide-units" sheetId="6" r:id="rId4"/>
    <sheet name="remap_guide-sample_type" sheetId="7" r:id="rId5"/>
    <sheet name="mapping_def" sheetId="1" r:id="rId6"/>
  </sheets>
  <externalReferences>
    <externalReference r:id="rId7"/>
    <externalReference r:id="rId8"/>
  </externalReferences>
  <definedNames>
    <definedName name="_xlnm._FilterDatabase" localSheetId="0" hidden="1">'remap_guide-analyte'!$A$1:$G$953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2" i="7"/>
  <c r="D5" i="4"/>
  <c r="D6" i="4"/>
  <c r="D7" i="4"/>
  <c r="D8" i="4"/>
  <c r="D2" i="4"/>
  <c r="D9" i="4"/>
  <c r="D10" i="4"/>
  <c r="D3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4" i="4"/>
  <c r="C97" i="2"/>
  <c r="C589" i="2"/>
  <c r="C588" i="2"/>
  <c r="C587" i="2"/>
  <c r="C586" i="2"/>
  <c r="C585" i="2"/>
  <c r="C584" i="2"/>
  <c r="C583" i="2"/>
  <c r="C582" i="2"/>
  <c r="C569" i="2"/>
  <c r="C568" i="2"/>
  <c r="C565" i="2"/>
  <c r="C564" i="2"/>
  <c r="C563" i="2"/>
  <c r="C562" i="2"/>
  <c r="C560" i="2"/>
  <c r="C559" i="2"/>
  <c r="C558" i="2"/>
  <c r="C556" i="2"/>
  <c r="C554" i="2"/>
  <c r="C551" i="2"/>
  <c r="C550" i="2"/>
  <c r="C546" i="2"/>
  <c r="C539" i="2"/>
  <c r="C538" i="2"/>
  <c r="C534" i="2"/>
  <c r="C518" i="2"/>
  <c r="C517" i="2"/>
  <c r="C516" i="2"/>
  <c r="C512" i="2"/>
  <c r="C511" i="2"/>
  <c r="C510" i="2"/>
  <c r="C509" i="2"/>
  <c r="C507" i="2"/>
  <c r="C506" i="2"/>
  <c r="C504" i="2"/>
  <c r="C503" i="2"/>
  <c r="C502" i="2"/>
  <c r="C501" i="2"/>
  <c r="C500" i="2"/>
  <c r="C499" i="2"/>
  <c r="C498" i="2"/>
  <c r="C495" i="2"/>
  <c r="C494" i="2"/>
  <c r="C493" i="2"/>
  <c r="C491" i="2"/>
  <c r="C490" i="2"/>
  <c r="C484" i="2"/>
  <c r="C479" i="2"/>
  <c r="C478" i="2"/>
  <c r="C477" i="2"/>
  <c r="C476" i="2"/>
  <c r="C475" i="2"/>
  <c r="C473" i="2"/>
  <c r="C472" i="2"/>
  <c r="C471" i="2"/>
  <c r="C470" i="2"/>
  <c r="C469" i="2"/>
  <c r="C468" i="2"/>
  <c r="C466" i="2"/>
  <c r="C465" i="2"/>
  <c r="C463" i="2"/>
  <c r="C462" i="2"/>
  <c r="C456" i="2"/>
  <c r="C455" i="2"/>
  <c r="C453" i="2"/>
  <c r="C450" i="2"/>
  <c r="C444" i="2"/>
  <c r="C356" i="2"/>
  <c r="C443" i="2"/>
  <c r="C439" i="2"/>
  <c r="C431" i="2"/>
  <c r="C430" i="2"/>
  <c r="C429" i="2"/>
  <c r="C427" i="2"/>
  <c r="C425" i="2"/>
  <c r="C424" i="2"/>
  <c r="C423" i="2"/>
  <c r="C419" i="2"/>
  <c r="C417" i="2"/>
  <c r="C416" i="2"/>
  <c r="C415" i="2"/>
  <c r="C414" i="2"/>
  <c r="C412" i="2"/>
  <c r="C411" i="2"/>
  <c r="C410" i="2"/>
  <c r="C409" i="2"/>
  <c r="C408" i="2"/>
  <c r="C421" i="2"/>
  <c r="C407" i="2"/>
  <c r="C406" i="2"/>
  <c r="C403" i="2"/>
  <c r="C404" i="2"/>
  <c r="C402" i="2"/>
  <c r="C401" i="2"/>
  <c r="C400" i="2"/>
  <c r="C399" i="2"/>
  <c r="C398" i="2"/>
  <c r="C396" i="2"/>
  <c r="C395" i="2"/>
  <c r="C392" i="2"/>
  <c r="C391" i="2"/>
  <c r="C390" i="2"/>
  <c r="C388" i="2"/>
  <c r="C387" i="2"/>
  <c r="C385" i="2"/>
  <c r="C365" i="2"/>
  <c r="C361" i="2"/>
  <c r="C360" i="2"/>
  <c r="C359" i="2"/>
  <c r="C358" i="2"/>
  <c r="C357" i="2"/>
  <c r="C354" i="2"/>
  <c r="C353" i="2"/>
  <c r="C349" i="2"/>
  <c r="C346" i="2"/>
  <c r="C345" i="2"/>
  <c r="C344" i="2"/>
  <c r="C343" i="2"/>
  <c r="C341" i="2"/>
  <c r="C340" i="2"/>
  <c r="C337" i="2"/>
  <c r="C336" i="2"/>
  <c r="C335" i="2"/>
  <c r="C333" i="2"/>
  <c r="C331" i="2"/>
  <c r="C330" i="2"/>
  <c r="C329" i="2"/>
  <c r="C328" i="2"/>
  <c r="C323" i="2"/>
  <c r="C321" i="2"/>
  <c r="C320" i="2"/>
  <c r="C319" i="2"/>
  <c r="C315" i="2"/>
  <c r="C313" i="2"/>
  <c r="C312" i="2"/>
  <c r="C310" i="2"/>
  <c r="C309" i="2"/>
  <c r="C306" i="2"/>
  <c r="C304" i="2"/>
  <c r="C301" i="2"/>
  <c r="C300" i="2"/>
  <c r="C297" i="2"/>
  <c r="C296" i="2"/>
  <c r="C294" i="2"/>
  <c r="C293" i="2"/>
  <c r="C292" i="2"/>
  <c r="C289" i="2"/>
  <c r="C288" i="2"/>
  <c r="C152" i="2"/>
  <c r="C287" i="2"/>
  <c r="C285" i="2"/>
  <c r="C284" i="2"/>
  <c r="C283" i="2"/>
  <c r="C282" i="2"/>
  <c r="C281" i="2"/>
  <c r="C280" i="2"/>
  <c r="C279" i="2"/>
  <c r="C276" i="2"/>
  <c r="C274" i="2"/>
  <c r="C272" i="2"/>
  <c r="C269" i="2"/>
  <c r="C268" i="2"/>
  <c r="C267" i="2"/>
  <c r="C264" i="2"/>
  <c r="C263" i="2"/>
  <c r="C261" i="2"/>
  <c r="C260" i="2"/>
  <c r="C259" i="2"/>
  <c r="C254" i="2"/>
  <c r="C41" i="2"/>
  <c r="C249" i="2"/>
  <c r="C248" i="2"/>
  <c r="C247" i="2"/>
  <c r="C246" i="2"/>
  <c r="C244" i="2"/>
  <c r="C243" i="2"/>
  <c r="C242" i="2"/>
  <c r="C241" i="2"/>
  <c r="C240" i="2"/>
  <c r="C239" i="2"/>
  <c r="C238" i="2"/>
  <c r="C233" i="2"/>
  <c r="C231" i="2"/>
  <c r="C230" i="2"/>
  <c r="C229" i="2"/>
  <c r="C228" i="2"/>
  <c r="C226" i="2"/>
  <c r="C496" i="2"/>
  <c r="C219" i="2"/>
  <c r="C218" i="2"/>
  <c r="C214" i="2"/>
  <c r="C211" i="2"/>
  <c r="C199" i="2"/>
  <c r="C208" i="2"/>
  <c r="C207" i="2"/>
  <c r="C206" i="2"/>
  <c r="C203" i="2"/>
  <c r="C202" i="2"/>
  <c r="C200" i="2"/>
  <c r="C198" i="2"/>
  <c r="C196" i="2"/>
  <c r="C195" i="2"/>
  <c r="C193" i="2"/>
  <c r="C191" i="2"/>
  <c r="C190" i="2"/>
  <c r="C188" i="2"/>
  <c r="C186" i="2"/>
  <c r="C322" i="2"/>
  <c r="C286" i="2"/>
  <c r="C185" i="2"/>
  <c r="C183" i="2"/>
  <c r="C181" i="2"/>
  <c r="C180" i="2"/>
  <c r="C179" i="2"/>
  <c r="C177" i="2"/>
  <c r="C176" i="2"/>
  <c r="C178" i="2"/>
  <c r="C173" i="2"/>
  <c r="C171" i="2"/>
  <c r="C170" i="2"/>
  <c r="C163" i="2"/>
  <c r="C160" i="2"/>
  <c r="C158" i="2"/>
  <c r="C154" i="2"/>
  <c r="C150" i="2"/>
  <c r="C149" i="2"/>
  <c r="C134" i="2"/>
  <c r="C132" i="2"/>
  <c r="C128" i="2"/>
  <c r="C127" i="2"/>
  <c r="C126" i="2"/>
  <c r="C125" i="2"/>
  <c r="C124" i="2"/>
  <c r="C116" i="2"/>
  <c r="C113" i="2"/>
  <c r="C112" i="2"/>
  <c r="C110" i="2"/>
  <c r="C108" i="2"/>
  <c r="C107" i="2"/>
  <c r="C106" i="2"/>
  <c r="C105" i="2"/>
  <c r="C104" i="2"/>
  <c r="C101" i="2"/>
  <c r="C98" i="2"/>
  <c r="C96" i="2"/>
  <c r="C95" i="2"/>
  <c r="C93" i="2"/>
  <c r="C92" i="2"/>
  <c r="C87" i="2"/>
  <c r="C86" i="2"/>
  <c r="C85" i="2"/>
  <c r="C83" i="2"/>
  <c r="C82" i="2"/>
  <c r="C81" i="2"/>
  <c r="C80" i="2"/>
  <c r="C79" i="2"/>
  <c r="C78" i="2"/>
  <c r="C77" i="2"/>
  <c r="C74" i="2"/>
  <c r="C73" i="2"/>
  <c r="C66" i="2"/>
  <c r="C65" i="2"/>
  <c r="C418" i="2"/>
  <c r="C64" i="2"/>
  <c r="C60" i="2"/>
  <c r="C59" i="2"/>
  <c r="C58" i="2"/>
  <c r="C34" i="2"/>
  <c r="C33" i="2"/>
  <c r="C30" i="2"/>
  <c r="C27" i="2"/>
  <c r="C26" i="2"/>
  <c r="C25" i="2"/>
  <c r="C24" i="2"/>
  <c r="C22" i="2"/>
  <c r="C21" i="2"/>
  <c r="C20" i="2"/>
  <c r="C19" i="2"/>
  <c r="C17" i="2"/>
  <c r="C15" i="2"/>
  <c r="C14" i="2"/>
  <c r="C13" i="2"/>
  <c r="C11" i="2"/>
  <c r="C7" i="2"/>
  <c r="C6" i="2"/>
  <c r="C5" i="2"/>
  <c r="C4" i="2"/>
  <c r="C3" i="2"/>
  <c r="C2" i="2"/>
  <c r="C118" i="2"/>
  <c r="C544" i="2"/>
  <c r="C540" i="2"/>
  <c r="C232" i="2"/>
  <c r="C436" i="2"/>
  <c r="C467" i="2"/>
  <c r="C446" i="2"/>
  <c r="C437" i="2"/>
  <c r="C115" i="2"/>
  <c r="C590" i="2"/>
  <c r="C213" i="2"/>
  <c r="C364" i="2"/>
  <c r="C434" i="2"/>
  <c r="C561" i="2"/>
  <c r="C75" i="2"/>
  <c r="C277" i="2"/>
  <c r="C552" i="2"/>
  <c r="C591" i="2"/>
  <c r="C305" i="2"/>
  <c r="C148" i="2"/>
  <c r="C592" i="2"/>
  <c r="C573" i="2"/>
  <c r="C143" i="2"/>
  <c r="C61" i="2"/>
  <c r="C147" i="2"/>
  <c r="C144" i="2"/>
  <c r="C142" i="2"/>
  <c r="C579" i="2"/>
  <c r="C593" i="2"/>
  <c r="C146" i="2"/>
  <c r="C161" i="2"/>
  <c r="C145" i="2"/>
  <c r="C227" i="2"/>
  <c r="C525" i="2"/>
  <c r="C594" i="2"/>
  <c r="C595" i="2"/>
  <c r="C581" i="2"/>
  <c r="C326" i="2"/>
  <c r="C91" i="2"/>
  <c r="C225" i="2"/>
  <c r="C338" i="2"/>
  <c r="C474" i="2"/>
  <c r="C464" i="2"/>
  <c r="C121" i="2"/>
  <c r="C123" i="2"/>
  <c r="C175" i="2"/>
  <c r="C99" i="2"/>
  <c r="C351" i="2"/>
  <c r="C596" i="2"/>
  <c r="C597" i="2"/>
  <c r="C62" i="2"/>
  <c r="C598" i="2"/>
  <c r="C577" i="2"/>
  <c r="C570" i="2"/>
  <c r="C522" i="2"/>
  <c r="C572" i="2"/>
  <c r="C454" i="2"/>
  <c r="C273" i="2"/>
  <c r="C448" i="2"/>
  <c r="C533" i="2"/>
  <c r="C393" i="2"/>
  <c r="C220" i="2"/>
  <c r="C111" i="2"/>
  <c r="C599" i="2"/>
  <c r="C600" i="2"/>
  <c r="C601" i="2"/>
  <c r="C602" i="2"/>
  <c r="C603" i="2"/>
  <c r="C604" i="2"/>
  <c r="C528" i="2"/>
  <c r="C530" i="2"/>
  <c r="C438" i="2"/>
  <c r="C253" i="2"/>
  <c r="C130" i="2"/>
  <c r="C605" i="2"/>
  <c r="C606" i="2"/>
  <c r="C209" i="2"/>
  <c r="C520" i="2"/>
  <c r="C291" i="2"/>
  <c r="C18" i="2"/>
  <c r="C204" i="2"/>
  <c r="C271" i="2"/>
  <c r="C607" i="2"/>
  <c r="C505" i="2"/>
  <c r="C298" i="2"/>
  <c r="C71" i="2"/>
  <c r="C215" i="2"/>
  <c r="C184" i="2"/>
  <c r="C221" i="2"/>
  <c r="C327" i="2"/>
  <c r="C166" i="2"/>
  <c r="C362" i="2"/>
  <c r="C608" i="2"/>
  <c r="C174" i="2"/>
  <c r="C449" i="2"/>
  <c r="C69" i="2"/>
  <c r="C515" i="2"/>
  <c r="C609" i="2"/>
  <c r="C122" i="2"/>
  <c r="C610" i="2"/>
  <c r="C440" i="2"/>
  <c r="C452" i="2"/>
  <c r="C537" i="2"/>
  <c r="C492" i="2"/>
  <c r="C481" i="2"/>
  <c r="C172" i="2"/>
  <c r="C217" i="2"/>
  <c r="C611" i="2"/>
  <c r="C117" i="2"/>
  <c r="C137" i="2"/>
  <c r="C612" i="2"/>
  <c r="C197" i="2"/>
  <c r="C613" i="2"/>
  <c r="C614" i="2"/>
  <c r="C615" i="2"/>
  <c r="C616" i="2"/>
  <c r="C617" i="2"/>
  <c r="C618" i="2"/>
  <c r="C619" i="2"/>
  <c r="C620" i="2"/>
  <c r="C621" i="2"/>
  <c r="C622" i="2"/>
  <c r="C519" i="2"/>
  <c r="C623" i="2"/>
  <c r="C624" i="2"/>
  <c r="C625" i="2"/>
  <c r="C626" i="2"/>
  <c r="C627" i="2"/>
  <c r="C628" i="2"/>
  <c r="C629" i="2"/>
  <c r="C405" i="2"/>
  <c r="C223" i="2"/>
  <c r="C270" i="2"/>
  <c r="C52" i="2"/>
  <c r="C630" i="2"/>
  <c r="C555" i="2"/>
  <c r="C50" i="2"/>
  <c r="C45" i="2"/>
  <c r="C44" i="2"/>
  <c r="C325" i="2"/>
  <c r="C46" i="2"/>
  <c r="C631" i="2"/>
  <c r="C51" i="2"/>
  <c r="C53" i="2"/>
  <c r="C632" i="2"/>
  <c r="C633" i="2"/>
  <c r="C634" i="2"/>
  <c r="C635" i="2"/>
  <c r="C636" i="2"/>
  <c r="C120" i="2"/>
  <c r="C637" i="2"/>
  <c r="C638" i="2"/>
  <c r="C639" i="2"/>
  <c r="C640" i="2"/>
  <c r="C641" i="2"/>
  <c r="C642" i="2"/>
  <c r="C553" i="2"/>
  <c r="C643" i="2"/>
  <c r="C644" i="2"/>
  <c r="C508" i="2"/>
  <c r="C135" i="2"/>
  <c r="C316" i="2"/>
  <c r="C645" i="2"/>
  <c r="C646" i="2"/>
  <c r="C210" i="2"/>
  <c r="C168" i="2"/>
  <c r="C548" i="2"/>
  <c r="C295" i="2"/>
  <c r="C647" i="2"/>
  <c r="C648" i="2"/>
  <c r="C649" i="2"/>
  <c r="C650" i="2"/>
  <c r="C459" i="2"/>
  <c r="C451" i="2"/>
  <c r="C651" i="2"/>
  <c r="C652" i="2"/>
  <c r="C28" i="2"/>
  <c r="C653" i="2"/>
  <c r="C182" i="2"/>
  <c r="C654" i="2"/>
  <c r="C266" i="2"/>
  <c r="C655" i="2"/>
  <c r="C656" i="2"/>
  <c r="C169" i="2"/>
  <c r="C657" i="2"/>
  <c r="C658" i="2"/>
  <c r="C659" i="2"/>
  <c r="C167" i="2"/>
  <c r="C139" i="2"/>
  <c r="C460" i="2"/>
  <c r="C236" i="2"/>
  <c r="C660" i="2"/>
  <c r="C566" i="2"/>
  <c r="C661" i="2"/>
  <c r="C347" i="2"/>
  <c r="C662" i="2"/>
  <c r="C663" i="2"/>
  <c r="C542" i="2"/>
  <c r="C109" i="2"/>
  <c r="C514" i="2"/>
  <c r="C258" i="2"/>
  <c r="C664" i="2"/>
  <c r="C457" i="2"/>
  <c r="C290" i="2"/>
  <c r="C665" i="2"/>
  <c r="C666" i="2"/>
  <c r="C667" i="2"/>
  <c r="C324" i="2"/>
  <c r="C668" i="2"/>
  <c r="C669" i="2"/>
  <c r="C89" i="2"/>
  <c r="C670" i="2"/>
  <c r="C671" i="2"/>
  <c r="C672" i="2"/>
  <c r="C673" i="2"/>
  <c r="C674" i="2"/>
  <c r="C308" i="2"/>
  <c r="C155" i="2"/>
  <c r="C102" i="2"/>
  <c r="C675" i="2"/>
  <c r="C676" i="2"/>
  <c r="C9" i="2"/>
  <c r="C435" i="2"/>
  <c r="C677" i="2"/>
  <c r="C678" i="2"/>
  <c r="C679" i="2"/>
  <c r="C680" i="2"/>
  <c r="C681" i="2"/>
  <c r="C682" i="2"/>
  <c r="C683" i="2"/>
  <c r="C394" i="2"/>
  <c r="C684" i="2"/>
  <c r="C685" i="2"/>
  <c r="C432" i="2"/>
  <c r="C317" i="2"/>
  <c r="C686" i="2"/>
  <c r="C257" i="2"/>
  <c r="C687" i="2"/>
  <c r="C688" i="2"/>
  <c r="C162" i="2"/>
  <c r="C278" i="2"/>
  <c r="C302" i="2"/>
  <c r="C689" i="2"/>
  <c r="C523" i="2"/>
  <c r="C690" i="2"/>
  <c r="C303" i="2"/>
  <c r="C691" i="2"/>
  <c r="C692" i="2"/>
  <c r="C693" i="2"/>
  <c r="C694" i="2"/>
  <c r="C695" i="2"/>
  <c r="C342" i="2"/>
  <c r="C57" i="2"/>
  <c r="C366" i="2"/>
  <c r="C153" i="2"/>
  <c r="C696" i="2"/>
  <c r="C697" i="2"/>
  <c r="C698" i="2"/>
  <c r="C578" i="2"/>
  <c r="C699" i="2"/>
  <c r="C549" i="2"/>
  <c r="C535" i="2"/>
  <c r="C700" i="2"/>
  <c r="C701" i="2"/>
  <c r="C702" i="2"/>
  <c r="C703" i="2"/>
  <c r="C49" i="2"/>
  <c r="C140" i="2"/>
  <c r="C704" i="2"/>
  <c r="C705" i="2"/>
  <c r="C531" i="2"/>
  <c r="C527" i="2"/>
  <c r="C141" i="2"/>
  <c r="C43" i="2"/>
  <c r="C54" i="2"/>
  <c r="C48" i="2"/>
  <c r="C383" i="2"/>
  <c r="C706" i="2"/>
  <c r="C224" i="2"/>
  <c r="C707" i="2"/>
  <c r="C708" i="2"/>
  <c r="C47" i="2"/>
  <c r="C543" i="2"/>
  <c r="C709" i="2"/>
  <c r="C119" i="2"/>
  <c r="C710" i="2"/>
  <c r="C711" i="2"/>
  <c r="C712" i="2"/>
  <c r="C713" i="2"/>
  <c r="C714" i="2"/>
  <c r="C164" i="2"/>
  <c r="C488" i="2"/>
  <c r="C133" i="2"/>
  <c r="C715" i="2"/>
  <c r="C716" i="2"/>
  <c r="C205" i="2"/>
  <c r="C165" i="2"/>
  <c r="C717" i="2"/>
  <c r="C718" i="2"/>
  <c r="C389" i="2"/>
  <c r="C719" i="2"/>
  <c r="C720" i="2"/>
  <c r="C721" i="2"/>
  <c r="C722" i="2"/>
  <c r="C723" i="2"/>
  <c r="C23" i="2"/>
  <c r="C724" i="2"/>
  <c r="C129" i="2"/>
  <c r="C725" i="2"/>
  <c r="C35" i="2"/>
  <c r="C557" i="2"/>
  <c r="C726" i="2"/>
  <c r="C371" i="2"/>
  <c r="C194" i="2"/>
  <c r="C76" i="2"/>
  <c r="C727" i="2"/>
  <c r="C728" i="2"/>
  <c r="C729" i="2"/>
  <c r="C730" i="2"/>
  <c r="C731" i="2"/>
  <c r="C334" i="2"/>
  <c r="C732" i="2"/>
  <c r="C63" i="2"/>
  <c r="C368" i="2"/>
  <c r="C370" i="2"/>
  <c r="C377" i="2"/>
  <c r="C367" i="2"/>
  <c r="C381" i="2"/>
  <c r="C733" i="2"/>
  <c r="C382" i="2"/>
  <c r="C734" i="2"/>
  <c r="C735" i="2"/>
  <c r="C373" i="2"/>
  <c r="C378" i="2"/>
  <c r="C157" i="2"/>
  <c r="C736" i="2"/>
  <c r="C737" i="2"/>
  <c r="C738" i="2"/>
  <c r="C739" i="2"/>
  <c r="C740" i="2"/>
  <c r="C741" i="2"/>
  <c r="C742" i="2"/>
  <c r="C743" i="2"/>
  <c r="C744" i="2"/>
  <c r="C745" i="2"/>
  <c r="C746" i="2"/>
  <c r="C339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379" i="2"/>
  <c r="C376" i="2"/>
  <c r="C384" i="2"/>
  <c r="C759" i="2"/>
  <c r="C760" i="2"/>
  <c r="C761" i="2"/>
  <c r="C762" i="2"/>
  <c r="C32" i="2"/>
  <c r="C31" i="2"/>
  <c r="C255" i="2"/>
  <c r="C763" i="2"/>
  <c r="C29" i="2"/>
  <c r="C764" i="2"/>
  <c r="C348" i="2"/>
  <c r="C547" i="2"/>
  <c r="C765" i="2"/>
  <c r="C766" i="2"/>
  <c r="C767" i="2"/>
  <c r="C768" i="2"/>
  <c r="C769" i="2"/>
  <c r="C770" i="2"/>
  <c r="C39" i="2"/>
  <c r="C37" i="2"/>
  <c r="C42" i="2"/>
  <c r="C114" i="2"/>
  <c r="C771" i="2"/>
  <c r="C36" i="2"/>
  <c r="C55" i="2"/>
  <c r="C772" i="2"/>
  <c r="C773" i="2"/>
  <c r="C774" i="2"/>
  <c r="C775" i="2"/>
  <c r="C776" i="2"/>
  <c r="C777" i="2"/>
  <c r="C778" i="2"/>
  <c r="C779" i="2"/>
  <c r="C780" i="2"/>
  <c r="C781" i="2"/>
  <c r="C782" i="2"/>
  <c r="C56" i="2"/>
  <c r="C783" i="2"/>
  <c r="C784" i="2"/>
  <c r="C785" i="2"/>
  <c r="C786" i="2"/>
  <c r="C787" i="2"/>
  <c r="C788" i="2"/>
  <c r="C789" i="2"/>
  <c r="C38" i="2"/>
  <c r="C790" i="2"/>
  <c r="C791" i="2"/>
  <c r="C792" i="2"/>
  <c r="C793" i="2"/>
  <c r="C794" i="2"/>
  <c r="C795" i="2"/>
  <c r="C796" i="2"/>
  <c r="C580" i="2"/>
  <c r="C352" i="2"/>
  <c r="C797" i="2"/>
  <c r="C798" i="2"/>
  <c r="C374" i="2"/>
  <c r="C524" i="2"/>
  <c r="C576" i="2"/>
  <c r="C799" i="2"/>
  <c r="C375" i="2"/>
  <c r="C800" i="2"/>
  <c r="C575" i="2"/>
  <c r="C445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265" i="2"/>
  <c r="C332" i="2"/>
  <c r="C831" i="2"/>
  <c r="C832" i="2"/>
  <c r="C833" i="2"/>
  <c r="C256" i="2"/>
  <c r="C834" i="2"/>
  <c r="C835" i="2"/>
  <c r="C836" i="2"/>
  <c r="C480" i="2"/>
  <c r="C397" i="2"/>
  <c r="C837" i="2"/>
  <c r="C838" i="2"/>
  <c r="C839" i="2"/>
  <c r="C840" i="2"/>
  <c r="C841" i="2"/>
  <c r="C842" i="2"/>
  <c r="C843" i="2"/>
  <c r="C307" i="2"/>
  <c r="C844" i="2"/>
  <c r="C422" i="2"/>
  <c r="C845" i="2"/>
  <c r="C846" i="2"/>
  <c r="C189" i="2"/>
  <c r="C571" i="2"/>
  <c r="C529" i="2"/>
  <c r="C847" i="2"/>
  <c r="C486" i="2"/>
  <c r="C532" i="2"/>
  <c r="C485" i="2"/>
  <c r="C526" i="2"/>
  <c r="C848" i="2"/>
  <c r="C318" i="2"/>
  <c r="C386" i="2"/>
  <c r="C88" i="2"/>
  <c r="C849" i="2"/>
  <c r="C850" i="2"/>
  <c r="C426" i="2"/>
  <c r="C482" i="2"/>
  <c r="C851" i="2"/>
  <c r="C103" i="2"/>
  <c r="C212" i="2"/>
  <c r="C100" i="2"/>
  <c r="C192" i="2"/>
  <c r="C852" i="2"/>
  <c r="C574" i="2"/>
  <c r="C275" i="2"/>
  <c r="C138" i="2"/>
  <c r="C853" i="2"/>
  <c r="C854" i="2"/>
  <c r="C855" i="2"/>
  <c r="C856" i="2"/>
  <c r="C545" i="2"/>
  <c r="C857" i="2"/>
  <c r="C858" i="2"/>
  <c r="C380" i="2"/>
  <c r="C859" i="2"/>
  <c r="C860" i="2"/>
  <c r="C861" i="2"/>
  <c r="C222" i="2"/>
  <c r="C862" i="2"/>
  <c r="C863" i="2"/>
  <c r="C864" i="2"/>
  <c r="C865" i="2"/>
  <c r="C866" i="2"/>
  <c r="C867" i="2"/>
  <c r="C868" i="2"/>
  <c r="C869" i="2"/>
  <c r="C870" i="2"/>
  <c r="C871" i="2"/>
  <c r="C872" i="2"/>
  <c r="C372" i="2"/>
  <c r="C873" i="2"/>
  <c r="C874" i="2"/>
  <c r="C875" i="2"/>
  <c r="C876" i="2"/>
  <c r="C84" i="2"/>
  <c r="C567" i="2"/>
  <c r="C487" i="2"/>
  <c r="C877" i="2"/>
  <c r="C878" i="2"/>
  <c r="C879" i="2"/>
  <c r="C420" i="2"/>
  <c r="C880" i="2"/>
  <c r="C68" i="2"/>
  <c r="C881" i="2"/>
  <c r="C882" i="2"/>
  <c r="C156" i="2"/>
  <c r="C883" i="2"/>
  <c r="C136" i="2"/>
  <c r="C884" i="2"/>
  <c r="C885" i="2"/>
  <c r="C299" i="2"/>
  <c r="C886" i="2"/>
  <c r="C887" i="2"/>
  <c r="C888" i="2"/>
  <c r="C889" i="2"/>
  <c r="C890" i="2"/>
  <c r="C891" i="2"/>
  <c r="C892" i="2"/>
  <c r="C893" i="2"/>
  <c r="C894" i="2"/>
  <c r="C895" i="2"/>
  <c r="C70" i="2"/>
  <c r="C413" i="2"/>
  <c r="C896" i="2"/>
  <c r="C897" i="2"/>
  <c r="C898" i="2"/>
  <c r="C899" i="2"/>
  <c r="C900" i="2"/>
  <c r="C447" i="2"/>
  <c r="C901" i="2"/>
  <c r="C350" i="2"/>
  <c r="C187" i="2"/>
  <c r="C902" i="2"/>
  <c r="C903" i="2"/>
  <c r="C489" i="2"/>
  <c r="C428" i="2"/>
  <c r="C363" i="2"/>
  <c r="C904" i="2"/>
  <c r="C94" i="2"/>
  <c r="C905" i="2"/>
  <c r="C906" i="2"/>
  <c r="C907" i="2"/>
  <c r="C314" i="2"/>
  <c r="C908" i="2"/>
  <c r="C433" i="2"/>
  <c r="C541" i="2"/>
  <c r="C909" i="2"/>
  <c r="C910" i="2"/>
  <c r="C355" i="2"/>
  <c r="C911" i="2"/>
  <c r="C912" i="2"/>
  <c r="C913" i="2"/>
  <c r="C201" i="2"/>
  <c r="C234" i="2"/>
  <c r="C914" i="2"/>
  <c r="C915" i="2"/>
  <c r="C916" i="2"/>
  <c r="C12" i="2"/>
  <c r="C917" i="2"/>
  <c r="C90" i="2"/>
  <c r="C441" i="2"/>
  <c r="C918" i="2"/>
  <c r="C919" i="2"/>
  <c r="C920" i="2"/>
  <c r="C921" i="2"/>
  <c r="C922" i="2"/>
  <c r="C483" i="2"/>
  <c r="C923" i="2"/>
  <c r="C235" i="2"/>
  <c r="C237" i="2"/>
  <c r="C924" i="2"/>
  <c r="C925" i="2"/>
  <c r="C926" i="2"/>
  <c r="C927" i="2"/>
  <c r="C928" i="2"/>
  <c r="C369" i="2"/>
  <c r="C929" i="2"/>
  <c r="C930" i="2"/>
  <c r="C931" i="2"/>
  <c r="C932" i="2"/>
  <c r="C72" i="2"/>
  <c r="C461" i="2"/>
  <c r="C933" i="2"/>
  <c r="C934" i="2"/>
  <c r="C935" i="2"/>
  <c r="C536" i="2"/>
  <c r="C936" i="2"/>
  <c r="C937" i="2"/>
  <c r="C938" i="2"/>
  <c r="C939" i="2"/>
  <c r="C940" i="2"/>
  <c r="C16" i="2"/>
  <c r="C513" i="2"/>
  <c r="C941" i="2"/>
  <c r="C159" i="2"/>
  <c r="C942" i="2"/>
  <c r="C943" i="2"/>
  <c r="C944" i="2"/>
  <c r="C945" i="2"/>
  <c r="C216" i="2"/>
  <c r="C946" i="2"/>
  <c r="C947" i="2"/>
  <c r="C948" i="2"/>
  <c r="C949" i="2"/>
  <c r="C950" i="2"/>
  <c r="C245" i="2"/>
  <c r="C951" i="2"/>
  <c r="C10" i="2"/>
  <c r="C952" i="2"/>
  <c r="C953" i="2"/>
  <c r="C1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tc={407E9E07-79B8-4232-909C-2D5E248DEF1A}</author>
    <author>tc={659B3FDF-4920-4E12-9EA1-8B74757B947D}</author>
  </authors>
  <commentList>
    <comment ref="C9" authorId="0" shapeId="0" xr:uid="{407E9E07-79B8-4232-909C-2D5E248DEF1A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LAB_REPNO value below</t>
      </text>
    </comment>
    <comment ref="C28" authorId="1" shapeId="0" xr:uid="{659B3FDF-4920-4E12-9EA1-8B74757B947D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LABWO value above</t>
      </text>
    </comment>
  </commentList>
</comments>
</file>

<file path=xl/sharedStrings.xml><?xml version="1.0" encoding="utf-8"?>
<sst xmlns="http://schemas.openxmlformats.org/spreadsheetml/2006/main" count="4013" uniqueCount="1892">
  <si>
    <t>QCCODE</t>
  </si>
  <si>
    <t>MATRIX</t>
  </si>
  <si>
    <t>PARVQ</t>
  </si>
  <si>
    <t>UNITS</t>
  </si>
  <si>
    <t>#FIELD_PT_NAME</t>
  </si>
  <si>
    <t>LOGDATE</t>
  </si>
  <si>
    <t>LOGTIME</t>
  </si>
  <si>
    <t>LOGCODE</t>
  </si>
  <si>
    <t>SAMPID</t>
  </si>
  <si>
    <t>PROJNAME</t>
  </si>
  <si>
    <t>LABWO</t>
  </si>
  <si>
    <t>GLOBAL_ID</t>
  </si>
  <si>
    <t>LABCODE</t>
  </si>
  <si>
    <t>LABSAMPID</t>
  </si>
  <si>
    <t>ANMCODE</t>
  </si>
  <si>
    <t>MODPARLIST</t>
  </si>
  <si>
    <t>EXMCODE</t>
  </si>
  <si>
    <t>LABLOTCTL</t>
  </si>
  <si>
    <t>LCHMETH</t>
  </si>
  <si>
    <t>ANADATE</t>
  </si>
  <si>
    <t>EXTDATE</t>
  </si>
  <si>
    <t>RUN_NUMBER</t>
  </si>
  <si>
    <t>RECDATE</t>
  </si>
  <si>
    <t>COCNUM</t>
  </si>
  <si>
    <t>BASIS</t>
  </si>
  <si>
    <t>PRESCODE</t>
  </si>
  <si>
    <t>SUB</t>
  </si>
  <si>
    <t>REP_DATE</t>
  </si>
  <si>
    <t>LAB_REPNO</t>
  </si>
  <si>
    <t>APPRVD</t>
  </si>
  <si>
    <t>TLNOTE</t>
  </si>
  <si>
    <t>PVCCODE</t>
  </si>
  <si>
    <t>PARLABEL</t>
  </si>
  <si>
    <t>PARVAL</t>
  </si>
  <si>
    <t>LABDL</t>
  </si>
  <si>
    <t>REPDL</t>
  </si>
  <si>
    <t>REPDLVQ</t>
  </si>
  <si>
    <t>PARUN</t>
  </si>
  <si>
    <t>RT</t>
  </si>
  <si>
    <t>DILFAC</t>
  </si>
  <si>
    <t>CLREVDATE</t>
  </si>
  <si>
    <t>SRM</t>
  </si>
  <si>
    <t>LABREFID</t>
  </si>
  <si>
    <t>EXPECTED</t>
  </si>
  <si>
    <t>RLNOTE</t>
  </si>
  <si>
    <t>USER_ADMIN_ID</t>
  </si>
  <si>
    <t>COC_MATRIX</t>
  </si>
  <si>
    <t>DQO_ID</t>
  </si>
  <si>
    <t>REQ_METHOD_GRP</t>
  </si>
  <si>
    <t>PROCEDURE_NAME</t>
  </si>
  <si>
    <t>METH_DESIGN_ID</t>
  </si>
  <si>
    <t>LAB_METH_GRP</t>
  </si>
  <si>
    <t>CLEANUP</t>
  </si>
  <si>
    <t>RES_FF_1</t>
  </si>
  <si>
    <t>RES_FF_2</t>
  </si>
  <si>
    <t>RES_FF_3</t>
  </si>
  <si>
    <t>RES_FF_4</t>
  </si>
  <si>
    <t>RES_FF_5</t>
  </si>
  <si>
    <t>Project Name: The identification assigned to the project by the organization performing the work.</t>
  </si>
  <si>
    <t>Global ID: The unique identifier for a regulated facility or site.</t>
  </si>
  <si>
    <t>QC Type: The code identifying the type of sample (e.g. laboratory-generated, environmental, etc.).</t>
  </si>
  <si>
    <t>Modified Parameter List: A field indicating whether the parameter list of an analytical method has been modified.</t>
  </si>
  <si>
    <t>Preparation Batch Number: The unique identifier for a preparation and handling batch.</t>
  </si>
  <si>
    <t>Leach Method: The code identifying the method of leaching performed.</t>
  </si>
  <si>
    <t>Run Number: The numeric code distinguishing multiple or repeat analysis of a sample by the same method on the same day.</t>
  </si>
  <si>
    <t>Received Date: The date the sample is received by the laboratory doing the analysis. Date format = yyyymmdd</t>
  </si>
  <si>
    <t>Chain-of-Custody Number: The number assigned to the chain-of-custody.</t>
  </si>
  <si>
    <t>Basis: The code used to distinguish whether a sample is reported as dry or wet weight, filtered or not filtered.</t>
  </si>
  <si>
    <t>Preservative: The code identifying the type of preservative added to the sample.</t>
  </si>
  <si>
    <t>Subcontracted Laboratory: The code identifying the subcontracted laboratory.</t>
  </si>
  <si>
    <t>Report Date: The date of the laboratory report. Date format = yyyymmdd</t>
  </si>
  <si>
    <t>Laboratory Report Number: The unique identifier for the laboratory report, assigned by the laboratory.</t>
  </si>
  <si>
    <t>Approved By: The initials of the individual approving the laboratory report.</t>
  </si>
  <si>
    <t>Laboratory Test Notes: The code identifying notes pertaining to analytical performance irregularities that apply to the entire test.</t>
  </si>
  <si>
    <t>Primary Value Type: The code identifying whether a sample result is a primary or a confirmatory value.</t>
  </si>
  <si>
    <t>Parameter: The code or CAS number identifying the analyte (parameter).</t>
  </si>
  <si>
    <t>Parameter Value: The analytical value for a compound, analyte, or physical parameter. (Formerly in the format N14,4 in EDF 1.2a.)</t>
  </si>
  <si>
    <t>Parameter Value Qualifier: The code identifying the qualifier of an analytical result (e.g., greater than, equal to, etc.).</t>
  </si>
  <si>
    <t>Method Detection Limit: The laboratory-established method detection limit. (Formerly in the format N9,4 in EDF 1.2a.)</t>
  </si>
  <si>
    <t>Reporting Detection Limit: The laboratory-established method detection limit, adjusted for the particular sample preparation (e.g., weight, volume, or dilution). (Formerly in the format N9,4 in EDF 1.2a.)</t>
  </si>
  <si>
    <t>Reporting Detection Limit Qualifier: The code identifying the type of reporting limit (e.g., practical quantitation limit, instrument detection limit, etc.).</t>
  </si>
  <si>
    <t>Parameter Uncertainty: The uncertainty of a measured value due to a measuring technique (expressed as plus or minus some value). (Formerly in the format N12,4 in EDF 1.2a.)</t>
  </si>
  <si>
    <t>Units of Measure: The units for the parameter value measurement.</t>
  </si>
  <si>
    <t>Retention Time: The retention time of a tentatively identified compound (TIC), reported in minutes (min). (Formerly in the format N7,2 in EDF 1.2a.)</t>
  </si>
  <si>
    <t>Dilution Factor: The numeric factor indicating the level of sample dilution. (Formerly in the format N10,3 in EDF 1.2a.)</t>
  </si>
  <si>
    <t>Control Limit Revision Date: The date a control limit is established. Date format = yyyymmdd</t>
  </si>
  <si>
    <t>Standard Reference Material: The code identifying the standard reference material used in the analysis.</t>
  </si>
  <si>
    <t>Laboratory Reference ID: The laboratory sample ID of the quality control reference sample.</t>
  </si>
  <si>
    <t>Expected Parameter Value: The target result for a quality control sample or surrogate spike. (Formerly in the format N14,4 in EDF 1.2a.)</t>
  </si>
  <si>
    <t>COC Matrix: The code identifying the sample matrix as noted on the chain-of-custody (e.g., water, soil, etc.).</t>
  </si>
  <si>
    <t>Data Quality Objectives ID: The unique identifier representing the data quality objectives.</t>
  </si>
  <si>
    <t>Requested Method Group: The unique identifier for the method or group of methods requested by the client for analysis of the sample.</t>
  </si>
  <si>
    <t>Procedure Name: The method title as defined by the analysis laboratory.</t>
  </si>
  <si>
    <t>Method Design ID: The unique identifier for the design of an analytical method.</t>
  </si>
  <si>
    <t>Lab Method Group: The unique identifier for a group of methods as defined by the laboratory.</t>
  </si>
  <si>
    <t>Cleanup Method: The code identifying the method of cleanup performed.</t>
  </si>
  <si>
    <t>Results Free Field 1: Results Free-entry field 1.</t>
  </si>
  <si>
    <t>Results Free Field 2: Results Free-entry field 2.</t>
  </si>
  <si>
    <t>Results Free Field 3: Results Free-entry field 3.</t>
  </si>
  <si>
    <t>Results Free Field 4: Results Free-entry field 4.</t>
  </si>
  <si>
    <t>Results Free Field 5: Results Free-entry field 5.</t>
  </si>
  <si>
    <t>sample_date</t>
  </si>
  <si>
    <t>sample_time</t>
  </si>
  <si>
    <t>analysis_date</t>
  </si>
  <si>
    <t>prep_date</t>
  </si>
  <si>
    <t>Field Point Name: The unique identifier for the sample's location, as identified by the organization collecting the sample.</t>
  </si>
  <si>
    <t>Collection Date: The date a field sample is collected. Date format = yyyymmdd</t>
  </si>
  <si>
    <t>Collection Time: The time that a field sample is collected, recorded using 24-hour military time.</t>
  </si>
  <si>
    <t>Field Organization: The code identifying the company collecting the samples or performing field tests.</t>
  </si>
  <si>
    <t>COC Sample ID: The unique identifier representing a sample, assigned by the consultant, as submitted to the laboratory on a chain-of-custody.</t>
  </si>
  <si>
    <t>Matrix: The code identifying the sample matrix as determined by the laboratory (e.g., water, soil, etc.).</t>
  </si>
  <si>
    <t>Work Order Number: A delivery order number associated with the contract.</t>
  </si>
  <si>
    <t>Laboratory: The code identifying the laboratory that analyzes the sample.</t>
  </si>
  <si>
    <t>Laboratory Sample ID: The unique identification number assigned to the sample by the laboratory.</t>
  </si>
  <si>
    <t>Analytical Method: The code identifying the method of analysis.</t>
  </si>
  <si>
    <t>Preparation Method: The code identifying the method of preparation.</t>
  </si>
  <si>
    <t>Analysis Date: The date the sample (aliquot, extract, digest and/or leachate) is analyzed. Date format = yyyymmdd</t>
  </si>
  <si>
    <t>Preparation Date: The date that a sample is prepared for analysis. Date format = yyyymmdd</t>
  </si>
  <si>
    <t>comments</t>
  </si>
  <si>
    <t>dt_location.sys_loc_code
dt_sample.sys_loc_code</t>
  </si>
  <si>
    <t>dt_field_sample.sampling_company_code (remap)</t>
  </si>
  <si>
    <t>dt_sample.sys_sample_code
dt_sample.sample_name</t>
  </si>
  <si>
    <t>dt_sample.matrix_code (remap)</t>
  </si>
  <si>
    <t>dt_task.task_desc</t>
  </si>
  <si>
    <t>dt_task.task_code
dt_sample.custom_field_1
dt_sample.task_code</t>
  </si>
  <si>
    <t>dt_sample.custom_field_2</t>
  </si>
  <si>
    <t>dt_test.lab_name_code (remap)</t>
  </si>
  <si>
    <t>dt_test.lab_sample_id</t>
  </si>
  <si>
    <t>dt_sample.sample_type_code (remap)</t>
  </si>
  <si>
    <t>dt_test.analytic_method (remap)</t>
  </si>
  <si>
    <t>dt_test.custom_field_3</t>
  </si>
  <si>
    <t>dt_test.prep_method (remap)</t>
  </si>
  <si>
    <t>dt_test_batch.test_batch_id
at_test_batch_assign.test_batch_id</t>
  </si>
  <si>
    <t>dt_test.leachate_method (remap)</t>
  </si>
  <si>
    <t>rt_test_type.test_type_desc
dt_test.test_type (remap)</t>
  </si>
  <si>
    <t>dt_chain_of_custody.chain_of_custody</t>
  </si>
  <si>
    <t>dt_test.custom_field_4</t>
  </si>
  <si>
    <t>dt_test.preservative (remap)</t>
  </si>
  <si>
    <t>dt_test.custom_field_1 (remap)</t>
  </si>
  <si>
    <t>dt_sdg.sdg_name
dt_test.custom_field_2
dt_test.lab_sdg</t>
  </si>
  <si>
    <t>dt_test.analyst_name</t>
  </si>
  <si>
    <t>dt_test.remark</t>
  </si>
  <si>
    <t>dt_test.column_number (remap)</t>
  </si>
  <si>
    <t>rt_analyte.chemical_name
dt_result.cas_rn</t>
  </si>
  <si>
    <t>dt_result.custom_field_1</t>
  </si>
  <si>
    <t>dt_result.method_detection_limit</t>
  </si>
  <si>
    <t>dt_result.reporting_detection_limit</t>
  </si>
  <si>
    <t>dt_result.custom_field_2</t>
  </si>
  <si>
    <t>dt_result.uncertainty</t>
  </si>
  <si>
    <t>dt_result.result_unit (remap)
dt_result.detection_limit_unit (remap)</t>
  </si>
  <si>
    <t>dt_result.tic_retention_time</t>
  </si>
  <si>
    <t>dt_test.dilution_factor</t>
  </si>
  <si>
    <t>dt_result.custom_field_3</t>
  </si>
  <si>
    <t>dt_result.custom_field_4</t>
  </si>
  <si>
    <t>dt_result.lab_qualifiers</t>
  </si>
  <si>
    <t>dt_sample.custom_field_3</t>
  </si>
  <si>
    <t>dt_sample.medium_code (remap)</t>
  </si>
  <si>
    <t>dt_result.custom_field_5</t>
  </si>
  <si>
    <t>dt_test.custom_field_5</t>
  </si>
  <si>
    <t>dt_result.remark</t>
  </si>
  <si>
    <t>default to ANADATE</t>
  </si>
  <si>
    <t>Yes</t>
  </si>
  <si>
    <t>Yes (cas#)</t>
  </si>
  <si>
    <t>LNOTE exists in SantaBarbaraEDF but I don't think we can use it unless we can join 18LBT and SantaBarbara tables at the result record level</t>
  </si>
  <si>
    <t>NO2ANIL2</t>
  </si>
  <si>
    <t>TCB124</t>
  </si>
  <si>
    <t>DCA12</t>
  </si>
  <si>
    <t>TAME</t>
  </si>
  <si>
    <t>DCBZ12</t>
  </si>
  <si>
    <t>C3H8</t>
  </si>
  <si>
    <t>TCLME</t>
  </si>
  <si>
    <t>DIOXANE14</t>
  </si>
  <si>
    <t>CLBZ</t>
  </si>
  <si>
    <t>TCA112</t>
  </si>
  <si>
    <t>PCE</t>
  </si>
  <si>
    <t>DCE12T</t>
  </si>
  <si>
    <t>CLHX1</t>
  </si>
  <si>
    <t>XYLO</t>
  </si>
  <si>
    <t>DCBZ14</t>
  </si>
  <si>
    <t>BZ</t>
  </si>
  <si>
    <t>DCE12C</t>
  </si>
  <si>
    <t>DBCME</t>
  </si>
  <si>
    <t>KN</t>
  </si>
  <si>
    <t>TCE</t>
  </si>
  <si>
    <t>CDS</t>
  </si>
  <si>
    <t>NAPH</t>
  </si>
  <si>
    <t>HEXANE</t>
  </si>
  <si>
    <t>TC1112</t>
  </si>
  <si>
    <t>BDCME</t>
  </si>
  <si>
    <t>VC</t>
  </si>
  <si>
    <t>BTBZN</t>
  </si>
  <si>
    <t>EBZ</t>
  </si>
  <si>
    <t>FC11</t>
  </si>
  <si>
    <t>HCBU</t>
  </si>
  <si>
    <t>DCP13T</t>
  </si>
  <si>
    <t>BRME</t>
  </si>
  <si>
    <t>TCPR123</t>
  </si>
  <si>
    <t>DIPE</t>
  </si>
  <si>
    <t>TBA</t>
  </si>
  <si>
    <t>BRCLME</t>
  </si>
  <si>
    <t>EDB</t>
  </si>
  <si>
    <t>DCP13C</t>
  </si>
  <si>
    <t>ACE</t>
  </si>
  <si>
    <t>IPBZ</t>
  </si>
  <si>
    <t>CTCL</t>
  </si>
  <si>
    <t>STY</t>
  </si>
  <si>
    <t>MEK</t>
  </si>
  <si>
    <t>DCP11</t>
  </si>
  <si>
    <t>DCPA22</t>
  </si>
  <si>
    <t>CLEA</t>
  </si>
  <si>
    <t>VA</t>
  </si>
  <si>
    <t>BTBZT</t>
  </si>
  <si>
    <t>BTBZS</t>
  </si>
  <si>
    <t>CLBZME4</t>
  </si>
  <si>
    <t>ETHANOL</t>
  </si>
  <si>
    <t>BRBZ</t>
  </si>
  <si>
    <t>DCBZ13</t>
  </si>
  <si>
    <t>DCPA12</t>
  </si>
  <si>
    <t>XYLENES1314</t>
  </si>
  <si>
    <t>TMB135</t>
  </si>
  <si>
    <t>CYMP</t>
  </si>
  <si>
    <t>142-82-5</t>
  </si>
  <si>
    <t>TCA111</t>
  </si>
  <si>
    <t>FC113</t>
  </si>
  <si>
    <t>BZME</t>
  </si>
  <si>
    <t>FC12</t>
  </si>
  <si>
    <t>TBME</t>
  </si>
  <si>
    <t>CLME</t>
  </si>
  <si>
    <t>HXO2</t>
  </si>
  <si>
    <t>DCE11</t>
  </si>
  <si>
    <t>PCA</t>
  </si>
  <si>
    <t>TCB123</t>
  </si>
  <si>
    <t>MN</t>
  </si>
  <si>
    <t>NI</t>
  </si>
  <si>
    <t>MTLNCL</t>
  </si>
  <si>
    <t>BA</t>
  </si>
  <si>
    <t>TMB124</t>
  </si>
  <si>
    <t>MIBK</t>
  </si>
  <si>
    <t>APINENE</t>
  </si>
  <si>
    <t>EBZME4</t>
  </si>
  <si>
    <t>ACRAMD</t>
  </si>
  <si>
    <t>CH4</t>
  </si>
  <si>
    <t>MTBE</t>
  </si>
  <si>
    <t>DCA11</t>
  </si>
  <si>
    <t>DCPA13</t>
  </si>
  <si>
    <t>PBZN</t>
  </si>
  <si>
    <t>DBCP</t>
  </si>
  <si>
    <t>DBMA</t>
  </si>
  <si>
    <t>ETBE</t>
  </si>
  <si>
    <t>ABZLCL</t>
  </si>
  <si>
    <t>PROPENE</t>
  </si>
  <si>
    <t>DROC10C28</t>
  </si>
  <si>
    <t>CLBZME2</t>
  </si>
  <si>
    <t>CU</t>
  </si>
  <si>
    <t>TOC</t>
  </si>
  <si>
    <t>MG</t>
  </si>
  <si>
    <t>SO4</t>
  </si>
  <si>
    <t>CA</t>
  </si>
  <si>
    <t>AL</t>
  </si>
  <si>
    <t>V</t>
  </si>
  <si>
    <t>TL</t>
  </si>
  <si>
    <t>FC114</t>
  </si>
  <si>
    <t>THF</t>
  </si>
  <si>
    <t>AG</t>
  </si>
  <si>
    <t>C2H6</t>
  </si>
  <si>
    <t>ERYTHRENE</t>
  </si>
  <si>
    <t>TM224C5N</t>
  </si>
  <si>
    <t>XYLENES</t>
  </si>
  <si>
    <t>BE</t>
  </si>
  <si>
    <t>FC21</t>
  </si>
  <si>
    <t>PCB1016</t>
  </si>
  <si>
    <t>OCDD</t>
  </si>
  <si>
    <t>HXCDF123789</t>
  </si>
  <si>
    <t>PCB1254</t>
  </si>
  <si>
    <t>HXCDD</t>
  </si>
  <si>
    <t>PCB1221</t>
  </si>
  <si>
    <t>PB</t>
  </si>
  <si>
    <t>PCB1248</t>
  </si>
  <si>
    <t>PCB1260</t>
  </si>
  <si>
    <t>HPCDD1234678</t>
  </si>
  <si>
    <t>TCDF</t>
  </si>
  <si>
    <t>PCB1232</t>
  </si>
  <si>
    <t>OCDF</t>
  </si>
  <si>
    <t>DIELDRIN</t>
  </si>
  <si>
    <t>PCB1242</t>
  </si>
  <si>
    <t>IGNITB</t>
  </si>
  <si>
    <t>BHCBETA</t>
  </si>
  <si>
    <t>BBP</t>
  </si>
  <si>
    <t>DBAHA</t>
  </si>
  <si>
    <t>HXCDF234678</t>
  </si>
  <si>
    <t>TCDD</t>
  </si>
  <si>
    <t>C2H4</t>
  </si>
  <si>
    <t>DFE11</t>
  </si>
  <si>
    <t>CO</t>
  </si>
  <si>
    <t>CYHEXANE</t>
  </si>
  <si>
    <t>S</t>
  </si>
  <si>
    <t>ALK</t>
  </si>
  <si>
    <t>FE</t>
  </si>
  <si>
    <t>BECEM</t>
  </si>
  <si>
    <t>NTPH4</t>
  </si>
  <si>
    <t>CR6</t>
  </si>
  <si>
    <t>PHAN</t>
  </si>
  <si>
    <t>A4DNT26</t>
  </si>
  <si>
    <t>TCP246</t>
  </si>
  <si>
    <t>INP123</t>
  </si>
  <si>
    <t>CPPE4</t>
  </si>
  <si>
    <t>DNP24</t>
  </si>
  <si>
    <t>BZACID</t>
  </si>
  <si>
    <t>HCCP</t>
  </si>
  <si>
    <t>CR</t>
  </si>
  <si>
    <t>CLANIL4</t>
  </si>
  <si>
    <t>DEPH</t>
  </si>
  <si>
    <t>DBF</t>
  </si>
  <si>
    <t>PCP</t>
  </si>
  <si>
    <t>DNT24</t>
  </si>
  <si>
    <t>ZN</t>
  </si>
  <si>
    <t>BIS2CIE</t>
  </si>
  <si>
    <t>ISOP</t>
  </si>
  <si>
    <t>BPPE4</t>
  </si>
  <si>
    <t>DNOP</t>
  </si>
  <si>
    <t>HCLEA</t>
  </si>
  <si>
    <t>ANTH</t>
  </si>
  <si>
    <t>BZBF</t>
  </si>
  <si>
    <t>BZAA</t>
  </si>
  <si>
    <t>NTPH2</t>
  </si>
  <si>
    <t>MO</t>
  </si>
  <si>
    <t>TCP245</t>
  </si>
  <si>
    <t>HG</t>
  </si>
  <si>
    <t>FLA</t>
  </si>
  <si>
    <t>BZAP</t>
  </si>
  <si>
    <t>BIS2EHP</t>
  </si>
  <si>
    <t>MEPH4</t>
  </si>
  <si>
    <t>CNPH2</t>
  </si>
  <si>
    <t>DNBP</t>
  </si>
  <si>
    <t>NO2BZ</t>
  </si>
  <si>
    <t>BZLAL</t>
  </si>
  <si>
    <t>MTNPH2</t>
  </si>
  <si>
    <t>PYR</t>
  </si>
  <si>
    <t>ACNP</t>
  </si>
  <si>
    <t>NO2ANIL3</t>
  </si>
  <si>
    <t>DNT26</t>
  </si>
  <si>
    <t>NNSPH</t>
  </si>
  <si>
    <t>DMPH</t>
  </si>
  <si>
    <t>DCP24</t>
  </si>
  <si>
    <t>FL</t>
  </si>
  <si>
    <t>PHENOL</t>
  </si>
  <si>
    <t>HCLBZ</t>
  </si>
  <si>
    <t>ACNPY</t>
  </si>
  <si>
    <t>K</t>
  </si>
  <si>
    <t>C4M3PH</t>
  </si>
  <si>
    <t>CLPH2</t>
  </si>
  <si>
    <t>NO2ANIL4</t>
  </si>
  <si>
    <t>P</t>
  </si>
  <si>
    <t>NO3N</t>
  </si>
  <si>
    <t>BZKF</t>
  </si>
  <si>
    <t>CHRYSENE</t>
  </si>
  <si>
    <t>NNSPR</t>
  </si>
  <si>
    <t>DN46M</t>
  </si>
  <si>
    <t>DMP24</t>
  </si>
  <si>
    <t>SE</t>
  </si>
  <si>
    <t>NO2N</t>
  </si>
  <si>
    <t>NA</t>
  </si>
  <si>
    <t>CL</t>
  </si>
  <si>
    <t>SB</t>
  </si>
  <si>
    <t>C6HEXANE</t>
  </si>
  <si>
    <t>ISOPROH</t>
  </si>
  <si>
    <t>TDS</t>
  </si>
  <si>
    <t>AS</t>
  </si>
  <si>
    <t>HPCDD</t>
  </si>
  <si>
    <t>HPCDF</t>
  </si>
  <si>
    <t>HXCDF123478</t>
  </si>
  <si>
    <t>MOIST</t>
  </si>
  <si>
    <t>PECDD12378</t>
  </si>
  <si>
    <t>TCDD2378</t>
  </si>
  <si>
    <t>HXCDD123789</t>
  </si>
  <si>
    <t>TEQ</t>
  </si>
  <si>
    <t>ACETICACID</t>
  </si>
  <si>
    <t>NO3NO2N</t>
  </si>
  <si>
    <t>ETACET</t>
  </si>
  <si>
    <t>ACRL</t>
  </si>
  <si>
    <t>HE</t>
  </si>
  <si>
    <t>PCB189</t>
  </si>
  <si>
    <t>CD</t>
  </si>
  <si>
    <t>CO2</t>
  </si>
  <si>
    <t>BR</t>
  </si>
  <si>
    <t>646-07-1</t>
  </si>
  <si>
    <t>142-62-1</t>
  </si>
  <si>
    <t>PYRUVICACID</t>
  </si>
  <si>
    <t>109-52-4</t>
  </si>
  <si>
    <t>PROPIONICACD</t>
  </si>
  <si>
    <t>ACETATE</t>
  </si>
  <si>
    <t>503-74-2</t>
  </si>
  <si>
    <t>BTA</t>
  </si>
  <si>
    <t>ETFOSA</t>
  </si>
  <si>
    <t>NH3N</t>
  </si>
  <si>
    <t>LACTICACID</t>
  </si>
  <si>
    <t>PCB114</t>
  </si>
  <si>
    <t>PCB105</t>
  </si>
  <si>
    <t>FE2</t>
  </si>
  <si>
    <t>MEPH2</t>
  </si>
  <si>
    <t>BZGHIP</t>
  </si>
  <si>
    <t>ENDOSULFANS</t>
  </si>
  <si>
    <t>BHCALPHA</t>
  </si>
  <si>
    <t>ENDRIN</t>
  </si>
  <si>
    <t>ALDRIN</t>
  </si>
  <si>
    <t>DDT44</t>
  </si>
  <si>
    <t>HEPTACHLOR</t>
  </si>
  <si>
    <t>DDE44</t>
  </si>
  <si>
    <t>HEPT-EPOX</t>
  </si>
  <si>
    <t>ENDOSULFANA</t>
  </si>
  <si>
    <t>BHCGAMMA</t>
  </si>
  <si>
    <t>BHCDELTA</t>
  </si>
  <si>
    <t>MTXYCL</t>
  </si>
  <si>
    <t>ENDRINALD</t>
  </si>
  <si>
    <t>CHLORDANEA</t>
  </si>
  <si>
    <t>ENDOSULFANB</t>
  </si>
  <si>
    <t>CHLORDANEG</t>
  </si>
  <si>
    <t>DDD44</t>
  </si>
  <si>
    <t>PCATE</t>
  </si>
  <si>
    <t>NH4</t>
  </si>
  <si>
    <t>PH</t>
  </si>
  <si>
    <t>DISUL</t>
  </si>
  <si>
    <t>FENSTHION</t>
  </si>
  <si>
    <t>DOC</t>
  </si>
  <si>
    <t>IME</t>
  </si>
  <si>
    <t>PYRDN</t>
  </si>
  <si>
    <t>BIS2CEE</t>
  </si>
  <si>
    <t>CLPYRIFOS</t>
  </si>
  <si>
    <t>MCPP</t>
  </si>
  <si>
    <t>COUMAPHOS</t>
  </si>
  <si>
    <t>MEVINPHOS</t>
  </si>
  <si>
    <t>ANILINE</t>
  </si>
  <si>
    <t>245T</t>
  </si>
  <si>
    <t>DINOSEB</t>
  </si>
  <si>
    <t>SULPROFOS</t>
  </si>
  <si>
    <t>DCBE14T</t>
  </si>
  <si>
    <t>MERPHOS</t>
  </si>
  <si>
    <t>MTPYRLN</t>
  </si>
  <si>
    <t>EMETHACRY</t>
  </si>
  <si>
    <t>FC22</t>
  </si>
  <si>
    <t>SC</t>
  </si>
  <si>
    <t>TIC</t>
  </si>
  <si>
    <t>CEVETH</t>
  </si>
  <si>
    <t>EE</t>
  </si>
  <si>
    <t>ZINOPHOS</t>
  </si>
  <si>
    <t>KEP</t>
  </si>
  <si>
    <t>PARAM</t>
  </si>
  <si>
    <t>CHLORDANE</t>
  </si>
  <si>
    <t>COD</t>
  </si>
  <si>
    <t>NO3</t>
  </si>
  <si>
    <t>ISODRIN</t>
  </si>
  <si>
    <t>CN</t>
  </si>
  <si>
    <t>RONNEL</t>
  </si>
  <si>
    <t>STIROFOS</t>
  </si>
  <si>
    <t>NNSPYRL</t>
  </si>
  <si>
    <t>AZOBENZENE</t>
  </si>
  <si>
    <t>CARBAZOLE</t>
  </si>
  <si>
    <t>METHACRN</t>
  </si>
  <si>
    <t>NNSE</t>
  </si>
  <si>
    <t>AFN</t>
  </si>
  <si>
    <t>SN</t>
  </si>
  <si>
    <t>24D</t>
  </si>
  <si>
    <t>C7HEPTANE</t>
  </si>
  <si>
    <t>PICLORAM</t>
  </si>
  <si>
    <t>PARAE</t>
  </si>
  <si>
    <t>CLPE3</t>
  </si>
  <si>
    <t>ACCN</t>
  </si>
  <si>
    <t>AMINONAPH1</t>
  </si>
  <si>
    <t>AMINONAPH2</t>
  </si>
  <si>
    <t>MECHLAN3</t>
  </si>
  <si>
    <t>NNSBU</t>
  </si>
  <si>
    <t>ISOSAFR</t>
  </si>
  <si>
    <t>PHORATE</t>
  </si>
  <si>
    <t>HARD</t>
  </si>
  <si>
    <t>PFNA</t>
  </si>
  <si>
    <t>DIAZ</t>
  </si>
  <si>
    <t>PACN</t>
  </si>
  <si>
    <t>PECLBZ</t>
  </si>
  <si>
    <t>PHNACTN</t>
  </si>
  <si>
    <t>MMETHACRY</t>
  </si>
  <si>
    <t>PFBTA</t>
  </si>
  <si>
    <t>MEFOSE</t>
  </si>
  <si>
    <t>HFPO-DA</t>
  </si>
  <si>
    <t>PFOS</t>
  </si>
  <si>
    <t>NETFOSAA</t>
  </si>
  <si>
    <t>PFTRIDA</t>
  </si>
  <si>
    <t>PFOS_A</t>
  </si>
  <si>
    <t>PFDOA</t>
  </si>
  <si>
    <t>PFPES</t>
  </si>
  <si>
    <t>PFBSA</t>
  </si>
  <si>
    <t>SILVEX</t>
  </si>
  <si>
    <t>ACB</t>
  </si>
  <si>
    <t>3:3FTCA</t>
  </si>
  <si>
    <t>NMEFOSAA</t>
  </si>
  <si>
    <t>PFOA</t>
  </si>
  <si>
    <t>SULFID-R</t>
  </si>
  <si>
    <t>BZD</t>
  </si>
  <si>
    <t>8:2FTS</t>
  </si>
  <si>
    <t>AMINOBPH4</t>
  </si>
  <si>
    <t>ALKCACO3</t>
  </si>
  <si>
    <t>ISOBTOH</t>
  </si>
  <si>
    <t>EMSULFN</t>
  </si>
  <si>
    <t>TPHC17C18</t>
  </si>
  <si>
    <t>TPHC10C11</t>
  </si>
  <si>
    <t>DPHY12</t>
  </si>
  <si>
    <t>TPHC21C22</t>
  </si>
  <si>
    <t>AZIPM</t>
  </si>
  <si>
    <t>TPHC33C36</t>
  </si>
  <si>
    <t>TPHC37C40</t>
  </si>
  <si>
    <t>DALAPON</t>
  </si>
  <si>
    <t>TPHC29C32</t>
  </si>
  <si>
    <t>CHLOROPRENE</t>
  </si>
  <si>
    <t>TPHC19C20</t>
  </si>
  <si>
    <t>TPHC15C16</t>
  </si>
  <si>
    <t>TPHC41C43</t>
  </si>
  <si>
    <t>PFHXDA</t>
  </si>
  <si>
    <t>PFODA</t>
  </si>
  <si>
    <t>9ClPF3ONS</t>
  </si>
  <si>
    <t>MEFOSA</t>
  </si>
  <si>
    <t>PRONAMD</t>
  </si>
  <si>
    <t>PFPA</t>
  </si>
  <si>
    <t>ADONA</t>
  </si>
  <si>
    <t>7:3FTCA</t>
  </si>
  <si>
    <t>6:2FTS</t>
  </si>
  <si>
    <t>PFNDCA</t>
  </si>
  <si>
    <t>MEPH34CO</t>
  </si>
  <si>
    <t>HCO3</t>
  </si>
  <si>
    <t>PHCG</t>
  </si>
  <si>
    <t>TPH&gt;C43</t>
  </si>
  <si>
    <t>TNB135</t>
  </si>
  <si>
    <t>TPHC8C9</t>
  </si>
  <si>
    <t>NALED</t>
  </si>
  <si>
    <t>TPHC37C38</t>
  </si>
  <si>
    <t>DCP26</t>
  </si>
  <si>
    <t>MTNPH1</t>
  </si>
  <si>
    <t>PECLNO2BZ</t>
  </si>
  <si>
    <t>NNSM</t>
  </si>
  <si>
    <t>DIALLATE</t>
  </si>
  <si>
    <t>TPHC4C12</t>
  </si>
  <si>
    <t>PFDSA</t>
  </si>
  <si>
    <t>MCPA</t>
  </si>
  <si>
    <t>NNSMRPH</t>
  </si>
  <si>
    <t>ETHOPROP</t>
  </si>
  <si>
    <t>TOKUTHION</t>
  </si>
  <si>
    <t>DNB13</t>
  </si>
  <si>
    <t>DIMETHAT</t>
  </si>
  <si>
    <t>PHC</t>
  </si>
  <si>
    <t>TPHC14C15</t>
  </si>
  <si>
    <t>TDS-ECRAT</t>
  </si>
  <si>
    <t>TPHC12C14</t>
  </si>
  <si>
    <t>TOXAP</t>
  </si>
  <si>
    <t>DMBZA712</t>
  </si>
  <si>
    <t>ACPHN</t>
  </si>
  <si>
    <t>PFHXSA</t>
  </si>
  <si>
    <t>PFOSA</t>
  </si>
  <si>
    <t>TOTPCB</t>
  </si>
  <si>
    <t>TPHC23C28</t>
  </si>
  <si>
    <t>NO2</t>
  </si>
  <si>
    <t>TCP2346</t>
  </si>
  <si>
    <t>FAMPHUR</t>
  </si>
  <si>
    <t>TPHC23C40</t>
  </si>
  <si>
    <t>TCP2345</t>
  </si>
  <si>
    <t>NNSME</t>
  </si>
  <si>
    <t>PFBA</t>
  </si>
  <si>
    <t>PFHA</t>
  </si>
  <si>
    <t>PFHPA</t>
  </si>
  <si>
    <t>NNSPPRD</t>
  </si>
  <si>
    <t>PDMAABZ</t>
  </si>
  <si>
    <t>TLDNONT5</t>
  </si>
  <si>
    <t>HCPR</t>
  </si>
  <si>
    <t>ACAMFL2</t>
  </si>
  <si>
    <t>GROC4C12</t>
  </si>
  <si>
    <t>C4BZ1245</t>
  </si>
  <si>
    <t>TPHC16C17</t>
  </si>
  <si>
    <t>CLBZLATE</t>
  </si>
  <si>
    <t>11ClPF3OUDS</t>
  </si>
  <si>
    <t>10:2FTS</t>
  </si>
  <si>
    <t>NAPHQ14</t>
  </si>
  <si>
    <t>SAFROLE</t>
  </si>
  <si>
    <t>24DB</t>
  </si>
  <si>
    <t>F</t>
  </si>
  <si>
    <t>PFMPA</t>
  </si>
  <si>
    <t>MPEA11</t>
  </si>
  <si>
    <t>DPA</t>
  </si>
  <si>
    <t>CO3</t>
  </si>
  <si>
    <t>DBZD33</t>
  </si>
  <si>
    <t>PFHPSA</t>
  </si>
  <si>
    <t>DEMETON</t>
  </si>
  <si>
    <t>ETFOSE</t>
  </si>
  <si>
    <t>DACTH</t>
  </si>
  <si>
    <t>DPHY12AZO</t>
  </si>
  <si>
    <t>DROC9C23</t>
  </si>
  <si>
    <t>SULFOTEP</t>
  </si>
  <si>
    <t>1PROPENYLBEN</t>
  </si>
  <si>
    <t>6682-71-9</t>
  </si>
  <si>
    <t>PFMBA</t>
  </si>
  <si>
    <t>ALKB</t>
  </si>
  <si>
    <t>ANLNAM4</t>
  </si>
  <si>
    <t>TPHC13C22</t>
  </si>
  <si>
    <t>NFDHA</t>
  </si>
  <si>
    <t>DICAMBA</t>
  </si>
  <si>
    <t>TLDNO</t>
  </si>
  <si>
    <t>SI</t>
  </si>
  <si>
    <t>SS</t>
  </si>
  <si>
    <t>HEM</t>
  </si>
  <si>
    <t>BOD5</t>
  </si>
  <si>
    <t>TURB</t>
  </si>
  <si>
    <t>ATERPINEOL</t>
  </si>
  <si>
    <t>DMBZD33</t>
  </si>
  <si>
    <t>TOTANIONS</t>
  </si>
  <si>
    <t>115-10-6</t>
  </si>
  <si>
    <t>GROC6C10</t>
  </si>
  <si>
    <t>RN645-88-5</t>
  </si>
  <si>
    <t>TPHC30C31</t>
  </si>
  <si>
    <t>MMSULFN</t>
  </si>
  <si>
    <t>B</t>
  </si>
  <si>
    <t>13C4PFOS</t>
  </si>
  <si>
    <t>PFNS</t>
  </si>
  <si>
    <t>NH3</t>
  </si>
  <si>
    <t>DEMETONS</t>
  </si>
  <si>
    <t>PFUNDCA</t>
  </si>
  <si>
    <t>ALKH</t>
  </si>
  <si>
    <t>FBZ</t>
  </si>
  <si>
    <t>CL3NATE</t>
  </si>
  <si>
    <t>TEMP</t>
  </si>
  <si>
    <t>THM</t>
  </si>
  <si>
    <t>DBA</t>
  </si>
  <si>
    <t>DCMA</t>
  </si>
  <si>
    <t>TEPTH</t>
  </si>
  <si>
    <t>EPN</t>
  </si>
  <si>
    <t>DICOFOL</t>
  </si>
  <si>
    <t>DICHLORVOS</t>
  </si>
  <si>
    <t>PFBS</t>
  </si>
  <si>
    <t>TCDF2378</t>
  </si>
  <si>
    <t>HXCDF</t>
  </si>
  <si>
    <t>DCPROP</t>
  </si>
  <si>
    <t>PECDF</t>
  </si>
  <si>
    <t>13C3-PFBA</t>
  </si>
  <si>
    <t>18O2PFHXSA</t>
  </si>
  <si>
    <t>13C4PFOA</t>
  </si>
  <si>
    <t>PFTEDA</t>
  </si>
  <si>
    <t>ENDRINKET</t>
  </si>
  <si>
    <t>BZLCL</t>
  </si>
  <si>
    <t>PECDD</t>
  </si>
  <si>
    <t>C9C10ARO</t>
  </si>
  <si>
    <t>OXYGEN</t>
  </si>
  <si>
    <t>C5C8ALIPUN</t>
  </si>
  <si>
    <t>C9C12ALIPUN</t>
  </si>
  <si>
    <t>TPHC6C8</t>
  </si>
  <si>
    <t>CMONOXIDE</t>
  </si>
  <si>
    <t>N</t>
  </si>
  <si>
    <t>HPCDF1234789</t>
  </si>
  <si>
    <t>DROHROC13C40</t>
  </si>
  <si>
    <t>DCP13</t>
  </si>
  <si>
    <t>FC123</t>
  </si>
  <si>
    <t>HROC23C40</t>
  </si>
  <si>
    <t>VB</t>
  </si>
  <si>
    <t>TPHC7C44</t>
  </si>
  <si>
    <t>TPHC13C44</t>
  </si>
  <si>
    <t>TPHC23C24</t>
  </si>
  <si>
    <t>PCB1268</t>
  </si>
  <si>
    <t>DROC13C22</t>
  </si>
  <si>
    <t>GROLROC4C12</t>
  </si>
  <si>
    <t>PCB156</t>
  </si>
  <si>
    <t>PCB118</t>
  </si>
  <si>
    <t>PCB1262</t>
  </si>
  <si>
    <t>TPHC41C44</t>
  </si>
  <si>
    <t>TPHC13C14</t>
  </si>
  <si>
    <t>TPHC25C28</t>
  </si>
  <si>
    <t>BUTYLACR</t>
  </si>
  <si>
    <t>VAC</t>
  </si>
  <si>
    <t>ISOBUTANE</t>
  </si>
  <si>
    <t>PO4</t>
  </si>
  <si>
    <t>GRO</t>
  </si>
  <si>
    <t>OROC29C40</t>
  </si>
  <si>
    <t>TPHC28C40</t>
  </si>
  <si>
    <t>14DIOXANED8</t>
  </si>
  <si>
    <t>DIESEL2</t>
  </si>
  <si>
    <t>PROPANAL</t>
  </si>
  <si>
    <t>DCDFET</t>
  </si>
  <si>
    <t>INJVOL</t>
  </si>
  <si>
    <t>SAMPDEP</t>
  </si>
  <si>
    <t>PVOL</t>
  </si>
  <si>
    <t>SURFACT</t>
  </si>
  <si>
    <t>TSS</t>
  </si>
  <si>
    <t>COND</t>
  </si>
  <si>
    <t>ALKC</t>
  </si>
  <si>
    <t>PROH</t>
  </si>
  <si>
    <t>PROPANOL2</t>
  </si>
  <si>
    <t>PENTANE</t>
  </si>
  <si>
    <t>BICACO3</t>
  </si>
  <si>
    <t>OH</t>
  </si>
  <si>
    <t>MEOH</t>
  </si>
  <si>
    <t>TPHMOTOROIL</t>
  </si>
  <si>
    <t>NONANE</t>
  </si>
  <si>
    <t>RN1072-05-5</t>
  </si>
  <si>
    <t>TPHC10C32</t>
  </si>
  <si>
    <t>BREA</t>
  </si>
  <si>
    <t>TPHC5C10</t>
  </si>
  <si>
    <t>PORTHO</t>
  </si>
  <si>
    <t>TPH&lt;C10</t>
  </si>
  <si>
    <t>GROC6C12</t>
  </si>
  <si>
    <t>FE3</t>
  </si>
  <si>
    <t>TVPH</t>
  </si>
  <si>
    <t>GASOLINE</t>
  </si>
  <si>
    <t>TRPH</t>
  </si>
  <si>
    <t>JETA</t>
  </si>
  <si>
    <t>TPHAVGAS</t>
  </si>
  <si>
    <t>PHCD</t>
  </si>
  <si>
    <t>DCE12TOT</t>
  </si>
  <si>
    <t>BZMED8</t>
  </si>
  <si>
    <t>MOIL</t>
  </si>
  <si>
    <t>HYDMOTOR</t>
  </si>
  <si>
    <t>C6C10ALIPH</t>
  </si>
  <si>
    <t>DRO</t>
  </si>
  <si>
    <t>MINSPRT</t>
  </si>
  <si>
    <t>REDOX</t>
  </si>
  <si>
    <t>UNK</t>
  </si>
  <si>
    <t>PBTE</t>
  </si>
  <si>
    <t>DS</t>
  </si>
  <si>
    <t>H2S</t>
  </si>
  <si>
    <t>TPHC8C40</t>
  </si>
  <si>
    <t>HROC23C32</t>
  </si>
  <si>
    <t>GROC5C12</t>
  </si>
  <si>
    <t>DCBE14C</t>
  </si>
  <si>
    <t>PFBZ</t>
  </si>
  <si>
    <t>EPHTOT</t>
  </si>
  <si>
    <t>C8C10ALIPH</t>
  </si>
  <si>
    <t>C6C8ALIPH</t>
  </si>
  <si>
    <t>C16C21ALIPH</t>
  </si>
  <si>
    <t>C8C10AROM</t>
  </si>
  <si>
    <t>C10C12AROM</t>
  </si>
  <si>
    <t>MEPH1314</t>
  </si>
  <si>
    <t>C10C12ALIPH</t>
  </si>
  <si>
    <t>MOILC24C36</t>
  </si>
  <si>
    <t>DROC10C24</t>
  </si>
  <si>
    <t>C5C6ALIPH</t>
  </si>
  <si>
    <t>C12C16AROM</t>
  </si>
  <si>
    <t>PBO</t>
  </si>
  <si>
    <t>C12C16ALIPH</t>
  </si>
  <si>
    <t>TPHC23C32</t>
  </si>
  <si>
    <t>DO</t>
  </si>
  <si>
    <t>HRO</t>
  </si>
  <si>
    <t>C25C36ALIPH</t>
  </si>
  <si>
    <t>TPHC6C12</t>
  </si>
  <si>
    <t>TPHC12C13</t>
  </si>
  <si>
    <t>TPH&gt;C40</t>
  </si>
  <si>
    <t>TPHC24C27</t>
  </si>
  <si>
    <t>TPHC36C39</t>
  </si>
  <si>
    <t>GROC4C7</t>
  </si>
  <si>
    <t>ALKPH45</t>
  </si>
  <si>
    <t>TPPH</t>
  </si>
  <si>
    <t>CR3</t>
  </si>
  <si>
    <t>TPHC36C40</t>
  </si>
  <si>
    <t>TPHC32C35</t>
  </si>
  <si>
    <t>TPHC33C34</t>
  </si>
  <si>
    <t>TPHC27C28</t>
  </si>
  <si>
    <t>TPHC13C40</t>
  </si>
  <si>
    <t>TPHC29C30</t>
  </si>
  <si>
    <t>TPHC35C36</t>
  </si>
  <si>
    <t>TPHC31C32</t>
  </si>
  <si>
    <t>UNKHYD</t>
  </si>
  <si>
    <t>TPHC39C40</t>
  </si>
  <si>
    <t>TPHC18C19</t>
  </si>
  <si>
    <t>TPHC24C40</t>
  </si>
  <si>
    <t>79-20-9</t>
  </si>
  <si>
    <t>108-87-2</t>
  </si>
  <si>
    <t>C12C13AROM</t>
  </si>
  <si>
    <t>C16C21AROM</t>
  </si>
  <si>
    <t>BACETATE</t>
  </si>
  <si>
    <t>OCTANEN</t>
  </si>
  <si>
    <t>HCN</t>
  </si>
  <si>
    <t>TPHJP8</t>
  </si>
  <si>
    <t>TPHCRUDEOIL</t>
  </si>
  <si>
    <t>PHCJP4</t>
  </si>
  <si>
    <t>TPHJP5</t>
  </si>
  <si>
    <t>BUNKERC</t>
  </si>
  <si>
    <t>KEROSENE</t>
  </si>
  <si>
    <t>TPHSTDSOLV</t>
  </si>
  <si>
    <t>C5C8ALIP</t>
  </si>
  <si>
    <t>CLBZD5</t>
  </si>
  <si>
    <t>DCBZ14D4</t>
  </si>
  <si>
    <t>TPHC28C31</t>
  </si>
  <si>
    <t>C9C12ARO</t>
  </si>
  <si>
    <t>TPH&gt;C44</t>
  </si>
  <si>
    <t>C6C8ARO</t>
  </si>
  <si>
    <t>TPHC20C23</t>
  </si>
  <si>
    <t>OROC33C40</t>
  </si>
  <si>
    <t>TPHC6C44</t>
  </si>
  <si>
    <t>TPHC8</t>
  </si>
  <si>
    <t>TPHC6</t>
  </si>
  <si>
    <t>XYLP</t>
  </si>
  <si>
    <t>TPHC10C22</t>
  </si>
  <si>
    <t>TPHC9C10</t>
  </si>
  <si>
    <t>TPHC11C12</t>
  </si>
  <si>
    <t>TPHC24C28</t>
  </si>
  <si>
    <t>TPHC18C20</t>
  </si>
  <si>
    <t>TPHC28C32</t>
  </si>
  <si>
    <t>C5PENTANE</t>
  </si>
  <si>
    <t>TPHC4C5</t>
  </si>
  <si>
    <t>TPHHYDROIL</t>
  </si>
  <si>
    <t>SOLID</t>
  </si>
  <si>
    <t>OROC23C32</t>
  </si>
  <si>
    <t>TPHC5C12</t>
  </si>
  <si>
    <t>BZBFBZKF</t>
  </si>
  <si>
    <t>RECN</t>
  </si>
  <si>
    <t>TPHC22C36</t>
  </si>
  <si>
    <t>TPHC10C28</t>
  </si>
  <si>
    <t>RROC28C40</t>
  </si>
  <si>
    <t>OROC23C40</t>
  </si>
  <si>
    <t>C8</t>
  </si>
  <si>
    <t>CRUC6C44</t>
  </si>
  <si>
    <t>C6</t>
  </si>
  <si>
    <t>PFDOS_A</t>
  </si>
  <si>
    <t>C7</t>
  </si>
  <si>
    <t>TPHC9C18</t>
  </si>
  <si>
    <t>TPHC7</t>
  </si>
  <si>
    <t>PAHTOT</t>
  </si>
  <si>
    <t>FLASHPT</t>
  </si>
  <si>
    <t>IC</t>
  </si>
  <si>
    <t>MBAS</t>
  </si>
  <si>
    <t>ORTHO</t>
  </si>
  <si>
    <t>TPHC6C7</t>
  </si>
  <si>
    <t>DROC12C23</t>
  </si>
  <si>
    <t>DIC</t>
  </si>
  <si>
    <t>TPHC4C8</t>
  </si>
  <si>
    <t>HFPA-DA</t>
  </si>
  <si>
    <t>4:2FTS</t>
  </si>
  <si>
    <t>HPCDF1234678</t>
  </si>
  <si>
    <t>GROC4C13</t>
  </si>
  <si>
    <t>CHLORDANETOT</t>
  </si>
  <si>
    <t>TPHC40C43</t>
  </si>
  <si>
    <t>TPHGC4C10</t>
  </si>
  <si>
    <t>C21C34AROM</t>
  </si>
  <si>
    <t>PECDF23478</t>
  </si>
  <si>
    <t>HXCDD123478</t>
  </si>
  <si>
    <t>C4C5</t>
  </si>
  <si>
    <t>C21C34ALIPH</t>
  </si>
  <si>
    <t>PFEESA</t>
  </si>
  <si>
    <t>HXCDF123678</t>
  </si>
  <si>
    <t>ALACL</t>
  </si>
  <si>
    <t>TPHC25C26</t>
  </si>
  <si>
    <t>DLIMONENE</t>
  </si>
  <si>
    <t>OILM</t>
  </si>
  <si>
    <t>TOTN</t>
  </si>
  <si>
    <t>13C2-PFOA</t>
  </si>
  <si>
    <t>13C3-PFPEA</t>
  </si>
  <si>
    <t>NMEFOSAAD3</t>
  </si>
  <si>
    <t>13C2PFTEDA</t>
  </si>
  <si>
    <t>NETFOSAAD5</t>
  </si>
  <si>
    <t>13C2PFUNDCA</t>
  </si>
  <si>
    <t>13C4PFBTA</t>
  </si>
  <si>
    <t>13C5PFNA</t>
  </si>
  <si>
    <t>13C2PFNDCA</t>
  </si>
  <si>
    <t>13C2PFHA</t>
  </si>
  <si>
    <t>13C3-PFHXS_A</t>
  </si>
  <si>
    <t>M2-4:2FTS</t>
  </si>
  <si>
    <t>13C8-PFOS_A</t>
  </si>
  <si>
    <t>M2-8:2FTS</t>
  </si>
  <si>
    <t>D3-MEFOSA</t>
  </si>
  <si>
    <t>13C2PFDOA</t>
  </si>
  <si>
    <t>13C4PFHPA</t>
  </si>
  <si>
    <t>13C2-10:2FTS</t>
  </si>
  <si>
    <t>13C3-PFBS_A</t>
  </si>
  <si>
    <t>13C8PFOSA</t>
  </si>
  <si>
    <t>D7-MEFOSE</t>
  </si>
  <si>
    <t>M2-6:2FTS</t>
  </si>
  <si>
    <t>D5-ETFOSA</t>
  </si>
  <si>
    <t>TTHM</t>
  </si>
  <si>
    <t>13C3-HFPO-DA</t>
  </si>
  <si>
    <t>5:3FTCA</t>
  </si>
  <si>
    <t>FCOLIFORM</t>
  </si>
  <si>
    <t>COLIFORM</t>
  </si>
  <si>
    <t>D9-ETFOSE</t>
  </si>
  <si>
    <t>SSNV</t>
  </si>
  <si>
    <t>BOD</t>
  </si>
  <si>
    <t>SETMAT</t>
  </si>
  <si>
    <t>FSS</t>
  </si>
  <si>
    <t>FORMALD</t>
  </si>
  <si>
    <t>PFHXA</t>
  </si>
  <si>
    <t>PFUNDA</t>
  </si>
  <si>
    <t>SAR</t>
  </si>
  <si>
    <t>PFDA</t>
  </si>
  <si>
    <t>MEPH3</t>
  </si>
  <si>
    <t>DOA</t>
  </si>
  <si>
    <t>TPHC23C44</t>
  </si>
  <si>
    <t>OILGREASE</t>
  </si>
  <si>
    <t>TSO</t>
  </si>
  <si>
    <t>OROC22C32</t>
  </si>
  <si>
    <t>MOILC17C44</t>
  </si>
  <si>
    <t>OROC32C40</t>
  </si>
  <si>
    <t>HAA5</t>
  </si>
  <si>
    <t>BRACETICA</t>
  </si>
  <si>
    <t>DBRACETICA</t>
  </si>
  <si>
    <t>DCAA</t>
  </si>
  <si>
    <t>TCAA</t>
  </si>
  <si>
    <t>BTZ</t>
  </si>
  <si>
    <t>DROC12C22</t>
  </si>
  <si>
    <t>NAPTHAC6C9</t>
  </si>
  <si>
    <t>NPHD</t>
  </si>
  <si>
    <t>FENTHION</t>
  </si>
  <si>
    <t>PECDF12378</t>
  </si>
  <si>
    <t>PCB167</t>
  </si>
  <si>
    <t>DIOXINTEQ</t>
  </si>
  <si>
    <t>PCB126</t>
  </si>
  <si>
    <t>PCB157</t>
  </si>
  <si>
    <t>PCB77</t>
  </si>
  <si>
    <t>PCB123</t>
  </si>
  <si>
    <t>FDS</t>
  </si>
  <si>
    <t>544-63-8</t>
  </si>
  <si>
    <t>DEMETONO</t>
  </si>
  <si>
    <t>BUTANE</t>
  </si>
  <si>
    <t>SO2</t>
  </si>
  <si>
    <t>BZGHIPD12</t>
  </si>
  <si>
    <t>TPHC20C21</t>
  </si>
  <si>
    <t>ATRAZINE</t>
  </si>
  <si>
    <t>DCBZA35</t>
  </si>
  <si>
    <t>TOTCATIONS</t>
  </si>
  <si>
    <t>SIL</t>
  </si>
  <si>
    <t>60-29-7</t>
  </si>
  <si>
    <t>75-85-4</t>
  </si>
  <si>
    <t>MALA</t>
  </si>
  <si>
    <t>75-45-6</t>
  </si>
  <si>
    <t>SIMAZINE</t>
  </si>
  <si>
    <t>MONOCROPHOS</t>
  </si>
  <si>
    <t>PFHXS</t>
  </si>
  <si>
    <t>HXCDD123678</t>
  </si>
  <si>
    <t>ETHION</t>
  </si>
  <si>
    <t>PENOXALIN</t>
  </si>
  <si>
    <t>GROC5C11</t>
  </si>
  <si>
    <t>TPHC10C36</t>
  </si>
  <si>
    <t>98-87-3</t>
  </si>
  <si>
    <t>TPHC18C36</t>
  </si>
  <si>
    <t>TPHC8C28</t>
  </si>
  <si>
    <t>DFBZ14</t>
  </si>
  <si>
    <t>DEHALVCRA</t>
  </si>
  <si>
    <t>592-27-8</t>
  </si>
  <si>
    <t>TPHC13C32</t>
  </si>
  <si>
    <t>C10C24ALIPH</t>
  </si>
  <si>
    <t>1002-84-2</t>
  </si>
  <si>
    <t>C10C40TPH</t>
  </si>
  <si>
    <t>XYLENES1214</t>
  </si>
  <si>
    <t>IBBZ</t>
  </si>
  <si>
    <t>EFHC8C40</t>
  </si>
  <si>
    <t>TPHC20C40</t>
  </si>
  <si>
    <t>TAA</t>
  </si>
  <si>
    <t>OXYARGON</t>
  </si>
  <si>
    <t>TPHC22C23</t>
  </si>
  <si>
    <t>TPHC24C25</t>
  </si>
  <si>
    <t>DROHROC12C40</t>
  </si>
  <si>
    <t>C9C9N</t>
  </si>
  <si>
    <t>TPHC2C10</t>
  </si>
  <si>
    <t>DROC10C22</t>
  </si>
  <si>
    <t>DROC13C32</t>
  </si>
  <si>
    <t>MN2</t>
  </si>
  <si>
    <t>C5C8ALIPA</t>
  </si>
  <si>
    <t>112-40-3</t>
  </si>
  <si>
    <t>124-18-5</t>
  </si>
  <si>
    <t>13C2-PFHXDA</t>
  </si>
  <si>
    <t>CBOD</t>
  </si>
  <si>
    <t>SALINITY</t>
  </si>
  <si>
    <t>TOTPHEN</t>
  </si>
  <si>
    <t>PFTRDA</t>
  </si>
  <si>
    <t>ECOLI</t>
  </si>
  <si>
    <t>TPHC9C25</t>
  </si>
  <si>
    <t>TERBACIL</t>
  </si>
  <si>
    <t>TMB123</t>
  </si>
  <si>
    <t>PCB169</t>
  </si>
  <si>
    <t>7446-09-5</t>
  </si>
  <si>
    <t>FL3MSIL</t>
  </si>
  <si>
    <t>UNK3</t>
  </si>
  <si>
    <t>TPHC36C37</t>
  </si>
  <si>
    <t>BZALD</t>
  </si>
  <si>
    <t>334-48-5</t>
  </si>
  <si>
    <t>PCB1242/1016</t>
  </si>
  <si>
    <t>TI</t>
  </si>
  <si>
    <t>KMNO4</t>
  </si>
  <si>
    <t>DEHALTCEA</t>
  </si>
  <si>
    <t>TVO</t>
  </si>
  <si>
    <t>78-78-4</t>
  </si>
  <si>
    <t>PHENO</t>
  </si>
  <si>
    <t>TPHC25C40</t>
  </si>
  <si>
    <t>PCLEA</t>
  </si>
  <si>
    <t>BTEX</t>
  </si>
  <si>
    <t>XYLM</t>
  </si>
  <si>
    <t>HFC134A</t>
  </si>
  <si>
    <t>DROC12C24</t>
  </si>
  <si>
    <t>GROC7C12</t>
  </si>
  <si>
    <t>PORG</t>
  </si>
  <si>
    <t>HPC</t>
  </si>
  <si>
    <t>TPHBUNKOIL</t>
  </si>
  <si>
    <t>C23C35</t>
  </si>
  <si>
    <t>TPHC28C29</t>
  </si>
  <si>
    <t>135TRIS</t>
  </si>
  <si>
    <t>TFBZME</t>
  </si>
  <si>
    <t>SGTHEM</t>
  </si>
  <si>
    <t>TPHC16C18</t>
  </si>
  <si>
    <t>TPHC32C36</t>
  </si>
  <si>
    <t>TPHC10</t>
  </si>
  <si>
    <t>THIOPHENE</t>
  </si>
  <si>
    <t>BZEP</t>
  </si>
  <si>
    <t>U</t>
  </si>
  <si>
    <t>TPHC8C10</t>
  </si>
  <si>
    <t>ON</t>
  </si>
  <si>
    <t>PFDODS</t>
  </si>
  <si>
    <t>NO2NO3</t>
  </si>
  <si>
    <t>TPHC13C15</t>
  </si>
  <si>
    <t>ACRN</t>
  </si>
  <si>
    <t>OROC23C44</t>
  </si>
  <si>
    <t>CAA</t>
  </si>
  <si>
    <t>BTOH</t>
  </si>
  <si>
    <t>TGNMO</t>
  </si>
  <si>
    <t>DTB35HPP4A</t>
  </si>
  <si>
    <t>PICOLINE2</t>
  </si>
  <si>
    <t>ARAMITE</t>
  </si>
  <si>
    <t>CAPROLACTAM</t>
  </si>
  <si>
    <t>TPHC32C33</t>
  </si>
  <si>
    <t>AVS</t>
  </si>
  <si>
    <t>SR</t>
  </si>
  <si>
    <t>BR4FBZ</t>
  </si>
  <si>
    <t>UNSH2</t>
  </si>
  <si>
    <t>ODB</t>
  </si>
  <si>
    <t>HUB</t>
  </si>
  <si>
    <t>TPHC33C40</t>
  </si>
  <si>
    <t>DBAHACR</t>
  </si>
  <si>
    <t>TPHC13C28</t>
  </si>
  <si>
    <t>CNA</t>
  </si>
  <si>
    <t>H</t>
  </si>
  <si>
    <t>1BR2CLET</t>
  </si>
  <si>
    <t>TCDDEQUIVS</t>
  </si>
  <si>
    <t>DROC10C25</t>
  </si>
  <si>
    <t>CACO3</t>
  </si>
  <si>
    <t>EFHC13C40</t>
  </si>
  <si>
    <t>CHRYSENED12</t>
  </si>
  <si>
    <t>TPHC39C44</t>
  </si>
  <si>
    <t>SG</t>
  </si>
  <si>
    <t>TETRYL</t>
  </si>
  <si>
    <t>RDX</t>
  </si>
  <si>
    <t>109-99-9</t>
  </si>
  <si>
    <t>BHT</t>
  </si>
  <si>
    <t>1678-92-8</t>
  </si>
  <si>
    <t>4NQO</t>
  </si>
  <si>
    <t>UNK2</t>
  </si>
  <si>
    <t>TEA</t>
  </si>
  <si>
    <t>COLOR</t>
  </si>
  <si>
    <t>DEHALSPP1</t>
  </si>
  <si>
    <t>107-83-5</t>
  </si>
  <si>
    <t>SO3</t>
  </si>
  <si>
    <t>ALLYLALCOHOL</t>
  </si>
  <si>
    <t>TPHC11C14</t>
  </si>
  <si>
    <t>PHAND10</t>
  </si>
  <si>
    <t>TPHC32C40</t>
  </si>
  <si>
    <t>TPHC10C12</t>
  </si>
  <si>
    <t>TVS</t>
  </si>
  <si>
    <t>VISCOS</t>
  </si>
  <si>
    <t>ESP</t>
  </si>
  <si>
    <t>PCB81</t>
  </si>
  <si>
    <t>UNK1</t>
  </si>
  <si>
    <t>PALMA</t>
  </si>
  <si>
    <t>HXCP</t>
  </si>
  <si>
    <t>TMHX224</t>
  </si>
  <si>
    <t>RN1632-70-8</t>
  </si>
  <si>
    <t>DBFM</t>
  </si>
  <si>
    <t>TPHC26C27</t>
  </si>
  <si>
    <t>C9C12ALIPA</t>
  </si>
  <si>
    <t>TPHGC3C12</t>
  </si>
  <si>
    <t>C8C8N</t>
  </si>
  <si>
    <t>TPH&gt;C32</t>
  </si>
  <si>
    <t>TPHC6C10</t>
  </si>
  <si>
    <t>FREELIQUIDS</t>
  </si>
  <si>
    <t>DME</t>
  </si>
  <si>
    <t>EPTAM</t>
  </si>
  <si>
    <t>THIOBENCARB</t>
  </si>
  <si>
    <t>NBZME4</t>
  </si>
  <si>
    <t>TNT</t>
  </si>
  <si>
    <t>RN1069-53-0</t>
  </si>
  <si>
    <t>XYLMP</t>
  </si>
  <si>
    <t>DROHROC6C12</t>
  </si>
  <si>
    <t>PCB180</t>
  </si>
  <si>
    <t>PHCDUNK</t>
  </si>
  <si>
    <t>C11C11N</t>
  </si>
  <si>
    <t>VOCC3HEX</t>
  </si>
  <si>
    <t>TPHC19C44</t>
  </si>
  <si>
    <t>TPHCREOSOTE</t>
  </si>
  <si>
    <t>TBTSN</t>
  </si>
  <si>
    <t>DDE24</t>
  </si>
  <si>
    <t>TPHC38C39</t>
  </si>
  <si>
    <t>OCDNA</t>
  </si>
  <si>
    <t>000107-31-3</t>
  </si>
  <si>
    <t>003114-55-4</t>
  </si>
  <si>
    <t>ACUTETOXSP1</t>
  </si>
  <si>
    <t>DROC10C23</t>
  </si>
  <si>
    <t>JETFUEL</t>
  </si>
  <si>
    <t>GC6HEXANE</t>
  </si>
  <si>
    <t>OC</t>
  </si>
  <si>
    <t>RROC25C36</t>
  </si>
  <si>
    <t>ACUTETOX</t>
  </si>
  <si>
    <t>22O2CLPANE</t>
  </si>
  <si>
    <t>HEPCBP</t>
  </si>
  <si>
    <t>000109-87-5</t>
  </si>
  <si>
    <t>TRIFLURALIN</t>
  </si>
  <si>
    <t>66-25-1</t>
  </si>
  <si>
    <t>TPHC10C20</t>
  </si>
  <si>
    <t>DEHALBVCA</t>
  </si>
  <si>
    <t>4-Bromofluorobenzene</t>
  </si>
  <si>
    <t>Benzene</t>
  </si>
  <si>
    <t>Toluene</t>
  </si>
  <si>
    <t>Toluene-d8</t>
  </si>
  <si>
    <t>DCA12D4</t>
  </si>
  <si>
    <t>1,2-Dichloroethane-d4</t>
  </si>
  <si>
    <t>Ethylbenzene</t>
  </si>
  <si>
    <t>Total Petroleum Hydrocarbons (TPH) as Gasoline (TPHG)</t>
  </si>
  <si>
    <t>Xylenes</t>
  </si>
  <si>
    <t>Xylene, Isomers m &amp; p</t>
  </si>
  <si>
    <t>o-Xylene</t>
  </si>
  <si>
    <t>Acetone</t>
  </si>
  <si>
    <t>Bromodichloromethane</t>
  </si>
  <si>
    <t>Bromobenzene</t>
  </si>
  <si>
    <t>Bromochloromethane</t>
  </si>
  <si>
    <t>Bromomethane</t>
  </si>
  <si>
    <t>n-Butylbenzene</t>
  </si>
  <si>
    <t>sec-Butylbenzene</t>
  </si>
  <si>
    <t>tert-Butylbenzene</t>
  </si>
  <si>
    <t>Carbon disulfide</t>
  </si>
  <si>
    <t>Chlorobenzene</t>
  </si>
  <si>
    <t>2-Chlorotoluene</t>
  </si>
  <si>
    <t>4-Chlorotoluene</t>
  </si>
  <si>
    <t>Chloroethane</t>
  </si>
  <si>
    <t>Chloromethane</t>
  </si>
  <si>
    <t>Carbon tetrachloride</t>
  </si>
  <si>
    <t>4-Isopropyltoluene</t>
  </si>
  <si>
    <t>Dibromochloromethane</t>
  </si>
  <si>
    <t>1,2-Dibromo-3-chloropropane</t>
  </si>
  <si>
    <t>Dibromofluoromethane</t>
  </si>
  <si>
    <t>Dibromomethane</t>
  </si>
  <si>
    <t>1,1-Dichloroethane</t>
  </si>
  <si>
    <t>1,2-Dichloroethane</t>
  </si>
  <si>
    <t>1,2-Dichlorobenzene</t>
  </si>
  <si>
    <t>1,3-Dichlorobenzene</t>
  </si>
  <si>
    <t>1,4-Dichlorobenzene</t>
  </si>
  <si>
    <t>1,1-Dichloroethene</t>
  </si>
  <si>
    <t>cis-1,2-Dichloroethene</t>
  </si>
  <si>
    <t>trans-1,2-Dichloroethene</t>
  </si>
  <si>
    <t>1,1-Dichloropropene</t>
  </si>
  <si>
    <t>cis-1,3-Dichloropropene</t>
  </si>
  <si>
    <t>trans-1,3-Dichloropropene</t>
  </si>
  <si>
    <t>1,2-Dichloropropane</t>
  </si>
  <si>
    <t>1,3-Dichloropropane</t>
  </si>
  <si>
    <t>2,2-Dichloropropane</t>
  </si>
  <si>
    <t>Di-isopropyl ether (DIPE)</t>
  </si>
  <si>
    <t>1,2-Dibromoethane</t>
  </si>
  <si>
    <t>Ethyl tert-butyl ether (ETBE)</t>
  </si>
  <si>
    <t>Ethanol (EtOH)</t>
  </si>
  <si>
    <t>Trichlorofluoromethane</t>
  </si>
  <si>
    <t>1,1,2-Trichloro-1,2,2-trifluoroethane</t>
  </si>
  <si>
    <t>Dichlorodifluoromethane</t>
  </si>
  <si>
    <t>Hexachlorobutadiene</t>
  </si>
  <si>
    <t>2-Hexanone</t>
  </si>
  <si>
    <t>Isopropylbenzene</t>
  </si>
  <si>
    <t>2-Butanone</t>
  </si>
  <si>
    <t>4-Methyl-2-pentanone</t>
  </si>
  <si>
    <t>Methyl-tert-butyl ether (MTBE)</t>
  </si>
  <si>
    <t>Methylene chloride</t>
  </si>
  <si>
    <t>Naphthalene</t>
  </si>
  <si>
    <t>n-Propylbenzene</t>
  </si>
  <si>
    <t>1,1,2,2-Tetrachloroethane</t>
  </si>
  <si>
    <t>Tetrachloroethene (PCE)</t>
  </si>
  <si>
    <t>Styrene</t>
  </si>
  <si>
    <t>tert-Amyl methyl ether (TAME)</t>
  </si>
  <si>
    <t>tert-Butyl alcohol (TBA)</t>
  </si>
  <si>
    <t>Bromoform</t>
  </si>
  <si>
    <t>1,1,1,2-Tetrachloroethane</t>
  </si>
  <si>
    <t>1,1,1-Trichloroethane</t>
  </si>
  <si>
    <t>1,1,2-Trichloroethane</t>
  </si>
  <si>
    <t>1,2,3-Trichlorobenzene</t>
  </si>
  <si>
    <t>1,2,4-Trichlorobenzene</t>
  </si>
  <si>
    <t>Trichloroethene (TCE)</t>
  </si>
  <si>
    <t>Chloroform</t>
  </si>
  <si>
    <t>1,2,3-Trichloropropane</t>
  </si>
  <si>
    <t>1,2,4-Trimethylbenzene</t>
  </si>
  <si>
    <t>1,3,5-Trimethylbenzene</t>
  </si>
  <si>
    <t>Vinyl chloride</t>
  </si>
  <si>
    <t>Trifluorotoluene</t>
  </si>
  <si>
    <t>Carbon dioxide</t>
  </si>
  <si>
    <t>Helium</t>
  </si>
  <si>
    <t>Oxygen/Argon</t>
  </si>
  <si>
    <t>AAATFBZME</t>
  </si>
  <si>
    <t>a,a,a-Trifluorotoluene</t>
  </si>
  <si>
    <t>Nitrogen, Nitrate (as N)</t>
  </si>
  <si>
    <t>Oxidation-Reduction Potential</t>
  </si>
  <si>
    <t>Sulfate</t>
  </si>
  <si>
    <t>Methane</t>
  </si>
  <si>
    <t>Manganese</t>
  </si>
  <si>
    <t>Vinyl acetate</t>
  </si>
  <si>
    <t>Mercury</t>
  </si>
  <si>
    <t>630-02-4</t>
  </si>
  <si>
    <t>Octacosane</t>
  </si>
  <si>
    <t>Acenaphthene</t>
  </si>
  <si>
    <t>Acenaphthylene</t>
  </si>
  <si>
    <t>Silver</t>
  </si>
  <si>
    <t>Aldrin</t>
  </si>
  <si>
    <t>Aniline</t>
  </si>
  <si>
    <t>Anthracene</t>
  </si>
  <si>
    <t>Arsenic</t>
  </si>
  <si>
    <t>Azinphos methyl</t>
  </si>
  <si>
    <t>Azobenzene</t>
  </si>
  <si>
    <t>Barium</t>
  </si>
  <si>
    <t>Benzyl butyl phthalate</t>
  </si>
  <si>
    <t>Beryllium</t>
  </si>
  <si>
    <t>bis-(2-Chloroethoxy)methane</t>
  </si>
  <si>
    <t>alpha-BHC</t>
  </si>
  <si>
    <t>beta-BHC</t>
  </si>
  <si>
    <t>delta-BHC</t>
  </si>
  <si>
    <t>gamma-BHC (Lindane)</t>
  </si>
  <si>
    <t>bis-(2-Chloroethyl)ether</t>
  </si>
  <si>
    <t>bis(2-Chloroisopropyl)ether</t>
  </si>
  <si>
    <t>bis-(2-Ethylhexyl)phthalate</t>
  </si>
  <si>
    <t>4-Bromophenyl phenyl ether</t>
  </si>
  <si>
    <t>Benzo(a)anthracene</t>
  </si>
  <si>
    <t>Benzoic acid</t>
  </si>
  <si>
    <t>Benzo(a)pyrene</t>
  </si>
  <si>
    <t>Benzo(b)fluoranthene</t>
  </si>
  <si>
    <t>Benzidine</t>
  </si>
  <si>
    <t>Benzo(g,h,i)perylene</t>
  </si>
  <si>
    <t>Benzo(k)fluoranthene</t>
  </si>
  <si>
    <t>Benzyl alcohol</t>
  </si>
  <si>
    <t>4-Chloro-3-methylphenol</t>
  </si>
  <si>
    <t>Cadmium</t>
  </si>
  <si>
    <t>Chlordane</t>
  </si>
  <si>
    <t>Chrysene</t>
  </si>
  <si>
    <t>CL10BZ2</t>
  </si>
  <si>
    <t>Decachlorobiphenyl</t>
  </si>
  <si>
    <t>Trichloronate</t>
  </si>
  <si>
    <t>4-Chloroaniline</t>
  </si>
  <si>
    <t>2-Chlorophenol</t>
  </si>
  <si>
    <t>Chlorpyrifos</t>
  </si>
  <si>
    <t>2-Chloronaphthalene</t>
  </si>
  <si>
    <t>Cobalt</t>
  </si>
  <si>
    <t>Coumaphos</t>
  </si>
  <si>
    <t>4-Chlorophenyl phenyl ether</t>
  </si>
  <si>
    <t>Chromium</t>
  </si>
  <si>
    <t>Copper</t>
  </si>
  <si>
    <t>Dibenzo(a,h)anthracene</t>
  </si>
  <si>
    <t>Dibenzofuran</t>
  </si>
  <si>
    <t>3,3'-Dichlorobenzidine</t>
  </si>
  <si>
    <t>2,4-Dichlorophenol</t>
  </si>
  <si>
    <t>4,4'-DDD</t>
  </si>
  <si>
    <t>4,4'-DDE</t>
  </si>
  <si>
    <t>4,4'-DDT</t>
  </si>
  <si>
    <t>Demeton, -O and -S</t>
  </si>
  <si>
    <t>Diethyl phthalate</t>
  </si>
  <si>
    <t>Diazinon</t>
  </si>
  <si>
    <t>Dichlorovos</t>
  </si>
  <si>
    <t>Dieldrin</t>
  </si>
  <si>
    <t>Disulfoton</t>
  </si>
  <si>
    <t>2,4-Dimethylphenol</t>
  </si>
  <si>
    <t>Dimethyl phthalate</t>
  </si>
  <si>
    <t>2-Methyl-4,6-dinitrophenol</t>
  </si>
  <si>
    <t>Di-n-butyl phthalate</t>
  </si>
  <si>
    <t>Di-n-octyl phthalate</t>
  </si>
  <si>
    <t>2,4-Dinitrophenol</t>
  </si>
  <si>
    <t>2,4-Dinitrotoluene</t>
  </si>
  <si>
    <t>2,6-Dinitrotoluene</t>
  </si>
  <si>
    <t>Endosulfan I</t>
  </si>
  <si>
    <t>Endosulfan II</t>
  </si>
  <si>
    <t>Endosulfan sulfate</t>
  </si>
  <si>
    <t>Endrin</t>
  </si>
  <si>
    <t>Endrin aldehyde</t>
  </si>
  <si>
    <t>Endrin ketone</t>
  </si>
  <si>
    <t>Ethoprop</t>
  </si>
  <si>
    <t>Fensulfothion</t>
  </si>
  <si>
    <t>Fenthion</t>
  </si>
  <si>
    <t>Fluorene</t>
  </si>
  <si>
    <t>Fluoranthene</t>
  </si>
  <si>
    <t>Hexachlorocyclopentadiene</t>
  </si>
  <si>
    <t>Hexachlorobenzene</t>
  </si>
  <si>
    <t>Hexachloroethane</t>
  </si>
  <si>
    <t>Heptachlor epoxide</t>
  </si>
  <si>
    <t>Heptachlor</t>
  </si>
  <si>
    <t>Indeno(1,2,3-cd)pyrene</t>
  </si>
  <si>
    <t>Isophorone</t>
  </si>
  <si>
    <t>2-Methylphenol (o-Cresol)</t>
  </si>
  <si>
    <t>3-Methylphenol/4-Methylphenol Coelution</t>
  </si>
  <si>
    <t>Merphos</t>
  </si>
  <si>
    <t>Mevinphos</t>
  </si>
  <si>
    <t>Molybdenum</t>
  </si>
  <si>
    <t>1-Methylnaphthalene</t>
  </si>
  <si>
    <t>2-Methylnaphthalene</t>
  </si>
  <si>
    <t>Methoxychlor</t>
  </si>
  <si>
    <t>Naled</t>
  </si>
  <si>
    <t>Nickel</t>
  </si>
  <si>
    <t>n-Nitrosodimethylamine</t>
  </si>
  <si>
    <t>n-Nitrosodiphenylamine</t>
  </si>
  <si>
    <t>n-Nitrosodi-n-propylamine</t>
  </si>
  <si>
    <t>2-Nitroaniline</t>
  </si>
  <si>
    <t>3-Nitroaniline</t>
  </si>
  <si>
    <t>4-Nitroaniline</t>
  </si>
  <si>
    <t>Nitrobenzene</t>
  </si>
  <si>
    <t>NO2BZD5</t>
  </si>
  <si>
    <t>Nitrobenzene-d5</t>
  </si>
  <si>
    <t>2-Nitrophenol</t>
  </si>
  <si>
    <t>4-Nitrophenol</t>
  </si>
  <si>
    <t>Parathion methyl</t>
  </si>
  <si>
    <t>Lead</t>
  </si>
  <si>
    <t>Pentachlorophenol</t>
  </si>
  <si>
    <t>PH246BR</t>
  </si>
  <si>
    <t>2,4,6-Tribromophenol</t>
  </si>
  <si>
    <t>PH2F</t>
  </si>
  <si>
    <t>2-Fluorophenol</t>
  </si>
  <si>
    <t>Phenanthrene</t>
  </si>
  <si>
    <t>Total Petroleum Hydrocarbons (TPH) as Diesel Fuel (TPHD)</t>
  </si>
  <si>
    <t>PHEN2F</t>
  </si>
  <si>
    <t>2-Fluorobiphenyl</t>
  </si>
  <si>
    <t>PHEND14</t>
  </si>
  <si>
    <t>Terphenyl-d14</t>
  </si>
  <si>
    <t>Phenol</t>
  </si>
  <si>
    <t>PHENOLD6</t>
  </si>
  <si>
    <t>Phenol-d6</t>
  </si>
  <si>
    <t>Phorate</t>
  </si>
  <si>
    <t>Pyrene</t>
  </si>
  <si>
    <t>Pyridine</t>
  </si>
  <si>
    <t>Ronnel</t>
  </si>
  <si>
    <t>Antimony</t>
  </si>
  <si>
    <t>Selenium</t>
  </si>
  <si>
    <t>Tetrachlorvinphos (Stirophos)</t>
  </si>
  <si>
    <t>Bolstar (Sulprofos)</t>
  </si>
  <si>
    <t>TBP</t>
  </si>
  <si>
    <t>Tributyl phosphate</t>
  </si>
  <si>
    <t>2,4,5-Trichlorophenol</t>
  </si>
  <si>
    <t>2,4,6-Trichlorophenol</t>
  </si>
  <si>
    <t>Thallium</t>
  </si>
  <si>
    <t>Toxaphene</t>
  </si>
  <si>
    <t>Total Petroleum Hydrocarbons (TPH) as Motor Oil</t>
  </si>
  <si>
    <t>Vanadium</t>
  </si>
  <si>
    <t>XYL2456CLM</t>
  </si>
  <si>
    <t>Zinc</t>
  </si>
  <si>
    <t>Unknown</t>
  </si>
  <si>
    <t>Gasoline Range Organics (C4-C13)</t>
  </si>
  <si>
    <t>Carbon monoxide</t>
  </si>
  <si>
    <t>Hydrogen</t>
  </si>
  <si>
    <t>Nitrogen</t>
  </si>
  <si>
    <t>Heptane</t>
  </si>
  <si>
    <t>Total Dissolved Solids</t>
  </si>
  <si>
    <t>TEQ-TOTAL</t>
  </si>
  <si>
    <t>Butanoic acid, 3-methyl-</t>
  </si>
  <si>
    <t>pH</t>
  </si>
  <si>
    <t>Specific Conductance</t>
  </si>
  <si>
    <t>Total Inorganic Carbon</t>
  </si>
  <si>
    <t>Chemical Oxygen Demand</t>
  </si>
  <si>
    <t>Bicarbonate alkalinity as CaCO3</t>
  </si>
  <si>
    <t>1H-Indene, 2,3-dihydro-4,7-dimethyl-</t>
  </si>
  <si>
    <t>Biologic Oxygen Demand (BOD - 5 day)</t>
  </si>
  <si>
    <t>Alkalinity, Hydroxide (OH)</t>
  </si>
  <si>
    <t>Temperature</t>
  </si>
  <si>
    <t>Total Trihalomethanes</t>
  </si>
  <si>
    <t>Total Suspended Solids</t>
  </si>
  <si>
    <t>Conductivity</t>
  </si>
  <si>
    <t>Motor Oils</t>
  </si>
  <si>
    <t>DIESEL RANGE ORGANICS</t>
  </si>
  <si>
    <t>Methyl acetate</t>
  </si>
  <si>
    <t>Methylcyclohexane</t>
  </si>
  <si>
    <t>Hexane</t>
  </si>
  <si>
    <t>Total PAHs</t>
  </si>
  <si>
    <t>Flash Point</t>
  </si>
  <si>
    <t>Dissolved Inorganic Carbon (DIC)</t>
  </si>
  <si>
    <t>Sodium Adsorption Ratio</t>
  </si>
  <si>
    <t>Oil and Grease</t>
  </si>
  <si>
    <t>Total Solids</t>
  </si>
  <si>
    <t>Tetradecanoic acid</t>
  </si>
  <si>
    <t>Ethyl ether</t>
  </si>
  <si>
    <t>2-Methyl-2-butanol</t>
  </si>
  <si>
    <t>Chlorodifluoromethane</t>
  </si>
  <si>
    <t>Heptane, 2-methyl-</t>
  </si>
  <si>
    <t>Carbonaceous Biochemical Oxygen Demand (CBOD)</t>
  </si>
  <si>
    <t>Salinity</t>
  </si>
  <si>
    <t>E. Coli</t>
  </si>
  <si>
    <t>Sulphur Dioxide</t>
  </si>
  <si>
    <t>Decanoic acid</t>
  </si>
  <si>
    <t>Total Volatile Organics</t>
  </si>
  <si>
    <t>Heterotropic Plate Count</t>
  </si>
  <si>
    <t>Nitrate plus nitrite as N</t>
  </si>
  <si>
    <t>Acid Volatile Sulphides</t>
  </si>
  <si>
    <t>Hydrocarbon Utilizing Bacteria</t>
  </si>
  <si>
    <t>Specific Gravity</t>
  </si>
  <si>
    <t>Tetrahydrofuran</t>
  </si>
  <si>
    <t>propylcylohexane</t>
  </si>
  <si>
    <t>2-Methylpentane</t>
  </si>
  <si>
    <t>Total Volatile Solids</t>
  </si>
  <si>
    <t>Exchangeable Sodium Percentage (ESP)</t>
  </si>
  <si>
    <t>SB MP-XYL</t>
  </si>
  <si>
    <t>Hexanal</t>
  </si>
  <si>
    <t>Percent Moisture</t>
  </si>
  <si>
    <t>Solids, Percent</t>
  </si>
  <si>
    <t>Carbonate Alkalinity as CACO3</t>
  </si>
  <si>
    <t>Benzal chloride</t>
  </si>
  <si>
    <t>Bicarbonate Alkalinity as CACO3</t>
  </si>
  <si>
    <t>Biologic Oxygen Demand</t>
  </si>
  <si>
    <t>Color</t>
  </si>
  <si>
    <t>Dissolved Organic Carbon</t>
  </si>
  <si>
    <t>Oxygen, Dissolved</t>
  </si>
  <si>
    <t>Total Petroleum Hydrocarbons (TPH) (C6-C10)</t>
  </si>
  <si>
    <t>Hardness as CaCO3</t>
  </si>
  <si>
    <t>Hexanoic Acid</t>
  </si>
  <si>
    <t>2-Methylbutane</t>
  </si>
  <si>
    <t>Methylene Blue Active Substances</t>
  </si>
  <si>
    <t>Decane</t>
  </si>
  <si>
    <t>Dodecane</t>
  </si>
  <si>
    <t>Nitrogen, Nitrate-Nitrite</t>
  </si>
  <si>
    <t>Nitrogen, Kjeldahl, Total</t>
  </si>
  <si>
    <t>Pentanoic Acid</t>
  </si>
  <si>
    <t>Settleable Matter</t>
  </si>
  <si>
    <t>Benzene, Toluene, Ethylbenzene, and Xylenes</t>
  </si>
  <si>
    <t>Total Organic Carbon  (TOC)</t>
  </si>
  <si>
    <t>Propane</t>
  </si>
  <si>
    <t>1,4-Dioxane</t>
  </si>
  <si>
    <t>1-Chlorohexane</t>
  </si>
  <si>
    <t>alpha-Pinene</t>
  </si>
  <si>
    <t>4-Ethyltoluene</t>
  </si>
  <si>
    <t>Acrylonitrile</t>
  </si>
  <si>
    <t>alpha-Chlorotoluene</t>
  </si>
  <si>
    <t>Propylene</t>
  </si>
  <si>
    <t>Magnesium</t>
  </si>
  <si>
    <t>Calcium</t>
  </si>
  <si>
    <t>Aluminum</t>
  </si>
  <si>
    <t>1,2-Dichloro-1,1,2,2-tetrafluoroethane</t>
  </si>
  <si>
    <t>Ethane</t>
  </si>
  <si>
    <t>1,3-Butadiene</t>
  </si>
  <si>
    <t>Dichlorofluoromethane</t>
  </si>
  <si>
    <t>PCB-1016  (Aroclor 1016)</t>
  </si>
  <si>
    <t>1,2,3,7,8,9-Hexachlorodibenzofuran</t>
  </si>
  <si>
    <t>PCB-1254  (Aroclor 1254)</t>
  </si>
  <si>
    <t>Total Hexachlorodibenzo-p-dioxins (HxCDD)</t>
  </si>
  <si>
    <t>PCB-1221  (Aroclor 1221)</t>
  </si>
  <si>
    <t>PCB-1248  (Aroclor 1248)</t>
  </si>
  <si>
    <t>PCB-1260  (Aroclor 1260)</t>
  </si>
  <si>
    <t>1,2,3,4,6,7,8-Heptachlorodibenzo-p-dioxin</t>
  </si>
  <si>
    <t>PCB-1232  (Aroclor 1232)</t>
  </si>
  <si>
    <t>Octachlorodibenzofuran</t>
  </si>
  <si>
    <t>PCB-1242  (Aroclor 1242)</t>
  </si>
  <si>
    <t>Ignitability</t>
  </si>
  <si>
    <t>2,3,4,6,7,8-Hexachlorodibenzofuran</t>
  </si>
  <si>
    <t>1,1-Difluoroethane</t>
  </si>
  <si>
    <t>Cyclohexane</t>
  </si>
  <si>
    <t>Sulfide</t>
  </si>
  <si>
    <t>Iron</t>
  </si>
  <si>
    <t>Chromium, Hexavalent</t>
  </si>
  <si>
    <t>4-Amino-2,6-dinitrotoluene</t>
  </si>
  <si>
    <t>4-Methylphenol (p-Cresol)</t>
  </si>
  <si>
    <t>Potassium</t>
  </si>
  <si>
    <t>Phosphorus, Total (as P)</t>
  </si>
  <si>
    <t>Nitrogen, Nitrite</t>
  </si>
  <si>
    <t>Sodium</t>
  </si>
  <si>
    <t>Chloride</t>
  </si>
  <si>
    <t>Total Heptachlorodibenzo-p-dioxins (HpCDD)</t>
  </si>
  <si>
    <t>1,2,3,4,7,8-Hexachlorodibenzofuran</t>
  </si>
  <si>
    <t>1,2,3,7,8-Pentachlorodibenzo-p-dioxin</t>
  </si>
  <si>
    <t>2,3,7,8-Tetrachlorodibenzo-p-dioxin</t>
  </si>
  <si>
    <t>1,2,3,7,8,9-Hexachlorodibenzo-p-dioxin</t>
  </si>
  <si>
    <t>Acetic acid</t>
  </si>
  <si>
    <t>Ethyl acetate</t>
  </si>
  <si>
    <t>Acrolein</t>
  </si>
  <si>
    <t>2,3,3',4,4',5,5'-Heptachlorobiphenyl</t>
  </si>
  <si>
    <t>Bromide</t>
  </si>
  <si>
    <t>Isohexanoic Acid</t>
  </si>
  <si>
    <t>Pyruvic Acid</t>
  </si>
  <si>
    <t>2,3,4,4',5-Pentachlorobiphenyl</t>
  </si>
  <si>
    <t>2,3,3',4,4'-Pentachlorobiphenyl</t>
  </si>
  <si>
    <t>alpha-Chlordane</t>
  </si>
  <si>
    <t>gamma-Chlordane</t>
  </si>
  <si>
    <t>Perchlorate</t>
  </si>
  <si>
    <t>MCPP (2-(2-methyl-4-chlorophenoxy) propanoic acid)</t>
  </si>
  <si>
    <t>2,4,5-T</t>
  </si>
  <si>
    <t>Dinoseb</t>
  </si>
  <si>
    <t>trans-1,4-Dichloro-2-butene</t>
  </si>
  <si>
    <t>Methapyrilene</t>
  </si>
  <si>
    <t>Ethyl methacrylate</t>
  </si>
  <si>
    <t>2-Chloroethyl vinyl ether</t>
  </si>
  <si>
    <t>Diethyl ether</t>
  </si>
  <si>
    <t>Thionazine</t>
  </si>
  <si>
    <t>Kepone</t>
  </si>
  <si>
    <t>Nitrate</t>
  </si>
  <si>
    <t>Isodrin</t>
  </si>
  <si>
    <t>Cyanide</t>
  </si>
  <si>
    <t>n-Nitrosopyrrolidine</t>
  </si>
  <si>
    <t>Carbazole</t>
  </si>
  <si>
    <t>n-Nitrosodiethylamine</t>
  </si>
  <si>
    <t>Acifluorfen</t>
  </si>
  <si>
    <t>Tin</t>
  </si>
  <si>
    <t>2,4-D</t>
  </si>
  <si>
    <t>Picloram</t>
  </si>
  <si>
    <t>Allyl chloride</t>
  </si>
  <si>
    <t>Acetonitrile</t>
  </si>
  <si>
    <t>1-Naphthylamine</t>
  </si>
  <si>
    <t>2-Naphthylamine</t>
  </si>
  <si>
    <t>3-Methylcholanthrene</t>
  </si>
  <si>
    <t>n-Nitroso-di-n-butylamine</t>
  </si>
  <si>
    <t>Isosafrole</t>
  </si>
  <si>
    <t>Propionitrile</t>
  </si>
  <si>
    <t>Pentachlorobenzene</t>
  </si>
  <si>
    <t>Methylmethacrylate</t>
  </si>
  <si>
    <t>2,4,5-TP (Silvex)</t>
  </si>
  <si>
    <t>Isobutanol</t>
  </si>
  <si>
    <t>Ethyl methanesulfonate</t>
  </si>
  <si>
    <t>Total Petroleum Hydrocarbons (TPH) (C17-C18)</t>
  </si>
  <si>
    <t>1,2-Diphenylhydrazine</t>
  </si>
  <si>
    <t>Total Petroleum Hydrocarbons (TPH) (C21-C22)</t>
  </si>
  <si>
    <t>Total Petroleum Hydrocarbons (TPH) (C33-C36)</t>
  </si>
  <si>
    <t>Total Petroleum Hydrocarbons (TPH) (C37-C40)</t>
  </si>
  <si>
    <t>Dalapon</t>
  </si>
  <si>
    <t>Total Petroleum Hydrocarbons (TPH) (C29-C32)</t>
  </si>
  <si>
    <t>Total Petroleum Hydrocarbons (TPH) (C19-C20)</t>
  </si>
  <si>
    <t>Total Petroleum Hydrocarbons (TPH) (C15-C16)</t>
  </si>
  <si>
    <t>Pronamide</t>
  </si>
  <si>
    <t>1,3,5-Trinitrobenzene</t>
  </si>
  <si>
    <t>2,6-Dichlorophenol</t>
  </si>
  <si>
    <t>Pentachloronitrobenzene</t>
  </si>
  <si>
    <t>Diallate (cis- or trans-)</t>
  </si>
  <si>
    <t>MCPA (2-Methyl-4-chlorophenoxy acetic acid)</t>
  </si>
  <si>
    <t>n-Nitrosomorpholine</t>
  </si>
  <si>
    <t>1,3-Dinitrobenzene</t>
  </si>
  <si>
    <t>Dimethoate</t>
  </si>
  <si>
    <t>7,12-Dimethylbenz(a)anthracene</t>
  </si>
  <si>
    <t>Acetophenone</t>
  </si>
  <si>
    <t>Total Polychlorinatedbiphenyls</t>
  </si>
  <si>
    <t>Nitrite</t>
  </si>
  <si>
    <t>Famphur</t>
  </si>
  <si>
    <t>n-Nitrosomethylethylamine</t>
  </si>
  <si>
    <t>n-Nitrosopiperidine</t>
  </si>
  <si>
    <t>p-Dimethylaminoazobenzene</t>
  </si>
  <si>
    <t>5-Nitro-o-toluidine</t>
  </si>
  <si>
    <t>Hexachloropropene</t>
  </si>
  <si>
    <t>1,2,4,5-Tetrachlorobenzene</t>
  </si>
  <si>
    <t>Chlorobenzilate</t>
  </si>
  <si>
    <t>1,4-Naphthoquinone</t>
  </si>
  <si>
    <t>Safrole</t>
  </si>
  <si>
    <t>2,4-DB</t>
  </si>
  <si>
    <t>Fluoride</t>
  </si>
  <si>
    <t>a,a-Dimethylphenethylamine</t>
  </si>
  <si>
    <t>Diphenylamine</t>
  </si>
  <si>
    <t>DCPA (Dacthal)</t>
  </si>
  <si>
    <t>Sulfotep</t>
  </si>
  <si>
    <t>Dicamba</t>
  </si>
  <si>
    <t>o-Toluidine</t>
  </si>
  <si>
    <t>Silicon</t>
  </si>
  <si>
    <t>Turbidity</t>
  </si>
  <si>
    <t>alpha-Terpineol</t>
  </si>
  <si>
    <t>Boron</t>
  </si>
  <si>
    <t>Ammonia (un-ionized)</t>
  </si>
  <si>
    <t>Demeton-S</t>
  </si>
  <si>
    <t>Fluorobenzene</t>
  </si>
  <si>
    <t>o,o,o-Triethyl phosphorothioate</t>
  </si>
  <si>
    <t>EPN (O-Ethyl phenyl (p-nitrophenyl) thiophosphonate)</t>
  </si>
  <si>
    <t>Dicofol</t>
  </si>
  <si>
    <t>2,3,7,8-Tetrachlorodibenzofuran</t>
  </si>
  <si>
    <t>Dichlorprop</t>
  </si>
  <si>
    <t>Chlorotoluene</t>
  </si>
  <si>
    <t>Total Pentachlorodibenzo-p-dioxin (PeCDD)</t>
  </si>
  <si>
    <t>C9-C10 Aromatics</t>
  </si>
  <si>
    <t>Oxygen</t>
  </si>
  <si>
    <t>1,2,3,4,7,8,9-Heptachlorodibenzofuran</t>
  </si>
  <si>
    <t>1,3-Dichloropropene (Total)</t>
  </si>
  <si>
    <t>2,2-Dichloro-1,1,1-trifluoroethane</t>
  </si>
  <si>
    <t>Total Petroleum Hydrocarbons (TPH) (C23-C24)</t>
  </si>
  <si>
    <t>PCB-1268 (Aroclor 1268)</t>
  </si>
  <si>
    <t>2,3,3',4,4',5-Hexachlorobiphenyl</t>
  </si>
  <si>
    <t>2,3',4,4',5-Pentachlorobiphenyl</t>
  </si>
  <si>
    <t>PCB-1262 (Aroclor 1262)</t>
  </si>
  <si>
    <t>Total Petroleum Hydrocarbons (TPH) (C41-C44)</t>
  </si>
  <si>
    <t>Total Petroleum Hydrocarbons (TPH) (C13-C14)</t>
  </si>
  <si>
    <t>Total Petroleum Hydrocarbons (TPH) (C25-C28)</t>
  </si>
  <si>
    <t>Butyl acrylate</t>
  </si>
  <si>
    <t>Isobutane</t>
  </si>
  <si>
    <t>Total Petroleum Hydrocarbons (TPH) (C28-C40)</t>
  </si>
  <si>
    <t>1,4-Dioxane-d8</t>
  </si>
  <si>
    <t>Propanal</t>
  </si>
  <si>
    <t>n-Propanol</t>
  </si>
  <si>
    <t>2-Propanol</t>
  </si>
  <si>
    <t>Pentane</t>
  </si>
  <si>
    <t>Methanol (MeOH)</t>
  </si>
  <si>
    <t>Nonane</t>
  </si>
  <si>
    <t>Bromoethane</t>
  </si>
  <si>
    <t>Total Volatile Petroleum Hydrocarbons (TVPH)</t>
  </si>
  <si>
    <t>Petroleum Hydrocarbons, Total Recoverable</t>
  </si>
  <si>
    <t>Total Petroleum Hydrocarbons (TPH) as Aviation Gas</t>
  </si>
  <si>
    <t>1,2-Dichloroethene, Total</t>
  </si>
  <si>
    <t>C6-C10 Aliphatics</t>
  </si>
  <si>
    <t>Mineral Spirits</t>
  </si>
  <si>
    <t>Tetraethyl lead</t>
  </si>
  <si>
    <t>cis-1,4-Dichloro-2-butene</t>
  </si>
  <si>
    <t>Total Extractable Petroleum Hydrocarbons (EPH)</t>
  </si>
  <si>
    <t>C8-C10 Aliphatics</t>
  </si>
  <si>
    <t>C6-C8 Aliphatics</t>
  </si>
  <si>
    <t>C16-C21 Aliphatics</t>
  </si>
  <si>
    <t>C8-C10 Aromatics</t>
  </si>
  <si>
    <t>C10-C12 Aromatics</t>
  </si>
  <si>
    <t>C10-C12 Aliphatics</t>
  </si>
  <si>
    <t>C5-C6 Aliphatics</t>
  </si>
  <si>
    <t>C12-C16 Aromatics</t>
  </si>
  <si>
    <t>Organic Lead</t>
  </si>
  <si>
    <t>Chromium III</t>
  </si>
  <si>
    <t>C12-C13 Aromatics</t>
  </si>
  <si>
    <t>C16-C21 Aromatics</t>
  </si>
  <si>
    <t>Butyl acetate</t>
  </si>
  <si>
    <t>Total Petroleum Hydrocarbons (TPH) as JP-4</t>
  </si>
  <si>
    <t>Total Petroleum Hydrocarbons (TPH) as JP-5</t>
  </si>
  <si>
    <t>Fuel Oil No. 6 (BUNKER C)</t>
  </si>
  <si>
    <t>Total Petroleum Hydrocarbons (TPH) as Stoddard Solvent</t>
  </si>
  <si>
    <t>Chlorobenzene-d5</t>
  </si>
  <si>
    <t>1,4 Dichlorobenzene-d4</t>
  </si>
  <si>
    <t>Total Petroleum Hydrocarbons (TPH) (C6-C44)</t>
  </si>
  <si>
    <t>Total Petroleum Hydrocarbons (TPH) (C8)</t>
  </si>
  <si>
    <t>Total Petroleum Hydrocarbons (TPH) (C6)</t>
  </si>
  <si>
    <t>p-Xylene</t>
  </si>
  <si>
    <t>Total Petroleum Hydrocarbons (TPH) (C9-C10)</t>
  </si>
  <si>
    <t>Total Petroleum Hydrocarbons (TPH) (C11-C12)</t>
  </si>
  <si>
    <t>Total Petroleum Hydrocarbons (TPH) (C10-C28)</t>
  </si>
  <si>
    <t>Total Petroleum Hydrocarbons (TPH) (C7)</t>
  </si>
  <si>
    <t>1,2,3,4,6,7,8-Heptachlorodibenzofuran</t>
  </si>
  <si>
    <t>Chlordane, Total</t>
  </si>
  <si>
    <t>C21-C34 Aromatics</t>
  </si>
  <si>
    <t>2,3,4,7,8-Pentachlorodibenzofuran</t>
  </si>
  <si>
    <t>1,2,3,4,7,8-Hexachlorodibenzo-p-dioxin</t>
  </si>
  <si>
    <t>C21-C34 Aliphatics</t>
  </si>
  <si>
    <t>1,2,3,6,7,8-Hexachlorodibenzofuran</t>
  </si>
  <si>
    <t>Alachlor</t>
  </si>
  <si>
    <t>Fecal Coliform</t>
  </si>
  <si>
    <t>Coliform, Total</t>
  </si>
  <si>
    <t>Formaldehyde</t>
  </si>
  <si>
    <t>3-Methylphenol</t>
  </si>
  <si>
    <t>bis(2-Ethylhexyl)adipate</t>
  </si>
  <si>
    <t>Dichloroacetic acid</t>
  </si>
  <si>
    <t>Bentazon</t>
  </si>
  <si>
    <t>Naphtha distillate</t>
  </si>
  <si>
    <t>1,2,3,7,8-Pentachlorodibenzofuran</t>
  </si>
  <si>
    <t>2,3',4,4',5,5'-Hexachlorobiphenyl</t>
  </si>
  <si>
    <t>3,3',4,4',5-Pentachlorobiphenyl</t>
  </si>
  <si>
    <t>2,3,3',4,4',5'-Hexachlorobiphenyl</t>
  </si>
  <si>
    <t>3,3',4,4'-Tetrachlorobiphenyl</t>
  </si>
  <si>
    <t>2',3,4,4',5-Pentachlorobiphenyl</t>
  </si>
  <si>
    <t>Demeton-O</t>
  </si>
  <si>
    <t>Butane</t>
  </si>
  <si>
    <t>Sulfur Dioxide</t>
  </si>
  <si>
    <t>Atrazine</t>
  </si>
  <si>
    <t>3,5-Dichlorobenzoic acid</t>
  </si>
  <si>
    <t>Silica</t>
  </si>
  <si>
    <t>Malathion</t>
  </si>
  <si>
    <t>Simazine</t>
  </si>
  <si>
    <t>Monocrotophos</t>
  </si>
  <si>
    <t>1,2,3,6,7,8-Hexachlorodibenzo-p-dioxin</t>
  </si>
  <si>
    <t>Ethion</t>
  </si>
  <si>
    <t>Penoxalin (Pendimethalin)</t>
  </si>
  <si>
    <t>1,4-Difluorobenzene</t>
  </si>
  <si>
    <t>C10-C24 Aliphatics</t>
  </si>
  <si>
    <t>Isobutylbenzene</t>
  </si>
  <si>
    <t>C5-C8 Aliphatics (Adjusted baseline)</t>
  </si>
  <si>
    <t>Terbacil</t>
  </si>
  <si>
    <t>1,2,3-Trimethylbenzene</t>
  </si>
  <si>
    <t>3,3',4,4',5,5'-Hexachlorobiphenyl</t>
  </si>
  <si>
    <t>Benzaldehyde</t>
  </si>
  <si>
    <t>Titanium</t>
  </si>
  <si>
    <t>o-Terphenyl</t>
  </si>
  <si>
    <t>Pentachloroethane</t>
  </si>
  <si>
    <t>Diesel Range Organics (C12-C24)</t>
  </si>
  <si>
    <t>Thiophene</t>
  </si>
  <si>
    <t>Benzo(e)pyrene</t>
  </si>
  <si>
    <t>Acrylamide</t>
  </si>
  <si>
    <t>Chloroacetic acid</t>
  </si>
  <si>
    <t>n-Butanol</t>
  </si>
  <si>
    <t>2-Picoline</t>
  </si>
  <si>
    <t>Aramite</t>
  </si>
  <si>
    <t>Caprolactam</t>
  </si>
  <si>
    <t>Strontium</t>
  </si>
  <si>
    <t>Dibenz(a,h)acridine</t>
  </si>
  <si>
    <t>Amenable Cyanide</t>
  </si>
  <si>
    <t>1-Bromo-2-chloroethane</t>
  </si>
  <si>
    <t>Carbonate as CaCO3</t>
  </si>
  <si>
    <t>Methyl-2,4,6-trinitrophenylnitramine</t>
  </si>
  <si>
    <t>Hexahydro-1,3,5-trinitro-1,3,5-triazine</t>
  </si>
  <si>
    <t>Triethylamine</t>
  </si>
  <si>
    <t>Sulfite</t>
  </si>
  <si>
    <t>Allyl alcohol</t>
  </si>
  <si>
    <t>3,4,4',5-Tetrachlorobiphenyl</t>
  </si>
  <si>
    <t>Hexadecanoic acid</t>
  </si>
  <si>
    <t>Hexachlorophene</t>
  </si>
  <si>
    <t>C8 as n-Octane</t>
  </si>
  <si>
    <t>Thiobencarb</t>
  </si>
  <si>
    <t>4-Nitrotoluene</t>
  </si>
  <si>
    <t>2,2',3,4,4',5,5'-Heptachlorobiphenyl</t>
  </si>
  <si>
    <t>Tributyltin</t>
  </si>
  <si>
    <t>2,4'-DDE</t>
  </si>
  <si>
    <t>Octadecanoic acid</t>
  </si>
  <si>
    <t>Jet Fuel</t>
  </si>
  <si>
    <t>Heptachlorobiphenyl</t>
  </si>
  <si>
    <t>Trifluralin</t>
  </si>
  <si>
    <t>in santaBarbara_YN</t>
  </si>
  <si>
    <t>in_18LBT_YN</t>
  </si>
  <si>
    <t>Y</t>
  </si>
  <si>
    <t/>
  </si>
  <si>
    <t>comment</t>
  </si>
  <si>
    <t>C6-C12, Total</t>
  </si>
  <si>
    <t>C6-C12-TOT</t>
  </si>
  <si>
    <t>Tokuthion</t>
  </si>
  <si>
    <t>34643-46-4</t>
  </si>
  <si>
    <t>C4-C12, Gasoline Range Organics</t>
  </si>
  <si>
    <t>C4-C12-GRO</t>
  </si>
  <si>
    <t>Gasoline Range Organics as Gas</t>
  </si>
  <si>
    <t>8006-61-9</t>
  </si>
  <si>
    <t>Iron (II)(Ferrous)</t>
  </si>
  <si>
    <t>15438-31-0</t>
  </si>
  <si>
    <t>124-48-1</t>
  </si>
  <si>
    <t>Total Alkalinity</t>
  </si>
  <si>
    <t>ALK-TOT</t>
  </si>
  <si>
    <t>Two options in rt_analyte: 98-08-8F &amp; 98-08-8P. Apparently F vs P are often manufacturing codes…</t>
  </si>
  <si>
    <t>https://www.sigmaaldrich.com/US/en/product/sial/547948?srsltid=AfmBOorAV_wIfzzlVyNUEJoegwzP5Ax1aZy-oS2UeNPu2Aub7S5acl0h</t>
  </si>
  <si>
    <t>reference</t>
  </si>
  <si>
    <t>https://pubchem.ncbi.nlm.nih.gov/compound/2-Methyl-4_6-dinitrophenol</t>
  </si>
  <si>
    <t>534-52-1</t>
  </si>
  <si>
    <t>877-09-8</t>
  </si>
  <si>
    <t>2,4,5,6-Tetrachloro-m-xylene</t>
  </si>
  <si>
    <t>155 results, all from May 2006. Method  = SW8260B. Only 'unknown's available in rt_analyte are TICs</t>
  </si>
  <si>
    <t>EM_equis_chemical_name</t>
  </si>
  <si>
    <t>EM_equis_cas_rn</t>
  </si>
  <si>
    <t>equis_destination</t>
  </si>
  <si>
    <t>remap_of_vals_needed?</t>
  </si>
  <si>
    <t>edd_description</t>
  </si>
  <si>
    <t>C4-C13-GRO</t>
  </si>
  <si>
    <t>98-08-8F</t>
  </si>
  <si>
    <t>ETO15</t>
  </si>
  <si>
    <t>ETO3</t>
  </si>
  <si>
    <t>SW8260B</t>
  </si>
  <si>
    <t>SW8015B</t>
  </si>
  <si>
    <t>M8015</t>
  </si>
  <si>
    <t>CATPH-G</t>
  </si>
  <si>
    <t>SW8021B</t>
  </si>
  <si>
    <t>D1946</t>
  </si>
  <si>
    <t>A3500FD</t>
  </si>
  <si>
    <t>E300.0</t>
  </si>
  <si>
    <t>D1498</t>
  </si>
  <si>
    <t>RSK175</t>
  </si>
  <si>
    <t>E200.7</t>
  </si>
  <si>
    <t>A2320B</t>
  </si>
  <si>
    <t>TO15M</t>
  </si>
  <si>
    <t>SW7471A</t>
  </si>
  <si>
    <t>SW8270C</t>
  </si>
  <si>
    <t>SW6010B</t>
  </si>
  <si>
    <t>SW8081A</t>
  </si>
  <si>
    <t>SW8141</t>
  </si>
  <si>
    <t>SW8260A</t>
  </si>
  <si>
    <t>SW8141A</t>
  </si>
  <si>
    <t>EM_analytic_method</t>
  </si>
  <si>
    <t>PERCENT</t>
  </si>
  <si>
    <t>PPMV</t>
  </si>
  <si>
    <t>UG/L</t>
  </si>
  <si>
    <t>MG/KG</t>
  </si>
  <si>
    <t>%V/V</t>
  </si>
  <si>
    <t>UG/M3</t>
  </si>
  <si>
    <t>MG/L</t>
  </si>
  <si>
    <t>MILLIVOLTS</t>
  </si>
  <si>
    <t>UG/KG</t>
  </si>
  <si>
    <t>EM_units</t>
  </si>
  <si>
    <t>GV</t>
  </si>
  <si>
    <t>WH</t>
  </si>
  <si>
    <t>WG</t>
  </si>
  <si>
    <t>WQ</t>
  </si>
  <si>
    <t>SO</t>
  </si>
  <si>
    <t>W</t>
  </si>
  <si>
    <t>AQ</t>
  </si>
  <si>
    <t>SQ</t>
  </si>
  <si>
    <t>EM_matrix_code</t>
  </si>
  <si>
    <t>add just 'V'? - result units = ppmv, ug/m3, %, % V/V, methods are all TO-15, TO-15M or TO-3</t>
  </si>
  <si>
    <t>SV</t>
  </si>
  <si>
    <t>confirm correct</t>
  </si>
  <si>
    <t>%</t>
  </si>
  <si>
    <t>ppmv</t>
  </si>
  <si>
    <t>ug/l</t>
  </si>
  <si>
    <t>mg/kg</t>
  </si>
  <si>
    <t>%v/v</t>
  </si>
  <si>
    <t>ug/m3</t>
  </si>
  <si>
    <t>mg/l</t>
  </si>
  <si>
    <t>millivolts</t>
  </si>
  <si>
    <t>ug/kg</t>
  </si>
  <si>
    <t>TO-15M</t>
  </si>
  <si>
    <t>add TO-15M</t>
  </si>
  <si>
    <t>EM_Sample_type_code_match</t>
  </si>
  <si>
    <t>CS</t>
  </si>
  <si>
    <t>BD1</t>
  </si>
  <si>
    <t>LB1</t>
  </si>
  <si>
    <t>BS1</t>
  </si>
  <si>
    <t>SD1</t>
  </si>
  <si>
    <t>MS1</t>
  </si>
  <si>
    <t>NC</t>
  </si>
  <si>
    <t>LR1</t>
  </si>
  <si>
    <t>BS2</t>
  </si>
  <si>
    <t>MS2</t>
  </si>
  <si>
    <t>SD2</t>
  </si>
  <si>
    <t>LB2</t>
  </si>
  <si>
    <t>MS5</t>
  </si>
  <si>
    <t>BD2</t>
  </si>
  <si>
    <t>SD5</t>
  </si>
  <si>
    <t>MS3</t>
  </si>
  <si>
    <t>SD3</t>
  </si>
  <si>
    <t>LB3</t>
  </si>
  <si>
    <t>BS3</t>
  </si>
  <si>
    <t>BS4</t>
  </si>
  <si>
    <t>BD3</t>
  </si>
  <si>
    <t>LB4</t>
  </si>
  <si>
    <t>LB5</t>
  </si>
  <si>
    <t>MS4</t>
  </si>
  <si>
    <t>SD4</t>
  </si>
  <si>
    <t>BD5</t>
  </si>
  <si>
    <t>BD4</t>
  </si>
  <si>
    <t>BS5</t>
  </si>
  <si>
    <t>LB6</t>
  </si>
  <si>
    <t>BD6</t>
  </si>
  <si>
    <t>BS6</t>
  </si>
  <si>
    <t>LB7</t>
  </si>
  <si>
    <t>LB8</t>
  </si>
  <si>
    <t>BS7</t>
  </si>
  <si>
    <t>BS8</t>
  </si>
  <si>
    <t>BD7</t>
  </si>
  <si>
    <t>BD8</t>
  </si>
  <si>
    <t>MS6</t>
  </si>
  <si>
    <t>SD6</t>
  </si>
  <si>
    <t>SD8</t>
  </si>
  <si>
    <t>MS8</t>
  </si>
  <si>
    <t>MS7</t>
  </si>
  <si>
    <t>SD7</t>
  </si>
  <si>
    <t>SD9</t>
  </si>
  <si>
    <t>MS9</t>
  </si>
  <si>
    <t>LB9</t>
  </si>
  <si>
    <t>BD9</t>
  </si>
  <si>
    <t>BS9</t>
  </si>
  <si>
    <t>BDC</t>
  </si>
  <si>
    <t>BSC</t>
  </si>
  <si>
    <t>LBC</t>
  </si>
  <si>
    <t>LBD</t>
  </si>
  <si>
    <t>BSE</t>
  </si>
  <si>
    <t>BSD</t>
  </si>
  <si>
    <t>BDE</t>
  </si>
  <si>
    <t>BSB</t>
  </si>
  <si>
    <t>BDD</t>
  </si>
  <si>
    <t>BDB</t>
  </si>
  <si>
    <t>LBB</t>
  </si>
  <si>
    <t>LBE</t>
  </si>
  <si>
    <t>BSA</t>
  </si>
  <si>
    <t>BDA</t>
  </si>
  <si>
    <t>LBA</t>
  </si>
  <si>
    <t>LBI</t>
  </si>
  <si>
    <t>BDJ</t>
  </si>
  <si>
    <t>BDI</t>
  </si>
  <si>
    <t>BSI</t>
  </si>
  <si>
    <t>LBJ</t>
  </si>
  <si>
    <t>BSJ</t>
  </si>
  <si>
    <t>LBH</t>
  </si>
  <si>
    <t>BDG</t>
  </si>
  <si>
    <t>LBG</t>
  </si>
  <si>
    <t>BSG</t>
  </si>
  <si>
    <t>QCCODE_wo_number</t>
  </si>
  <si>
    <t>BD</t>
  </si>
  <si>
    <t>LB</t>
  </si>
  <si>
    <t>BS</t>
  </si>
  <si>
    <t>SD</t>
  </si>
  <si>
    <t>MS</t>
  </si>
  <si>
    <t>LR</t>
  </si>
  <si>
    <t>FIELD_PT_NAME is blank for all records with this sample type; matrix codes are AQ, SO, W, WQ</t>
  </si>
  <si>
    <t>ERM_match</t>
  </si>
  <si>
    <t>Client Sample? All samples of this type have a loc Id type value in FIELD_PT_NAME with the exception of QCEB, QCEB PUMP, QCEBBAILER, QCFB, QCFD, QCTB</t>
  </si>
  <si>
    <t>Field Name</t>
  </si>
  <si>
    <t>data_field</t>
  </si>
  <si>
    <t>source_table</t>
  </si>
  <si>
    <t>default_value</t>
  </si>
  <si>
    <t>FIELD_PT_NAME</t>
  </si>
  <si>
    <t>18LBT EDF</t>
  </si>
  <si>
    <t>SAMP_DATE</t>
  </si>
  <si>
    <t>SAMP_TIME</t>
  </si>
  <si>
    <t>SantaBarbaraEDF</t>
  </si>
  <si>
    <t>SAMP_ID</t>
  </si>
  <si>
    <t>METHOD</t>
  </si>
  <si>
    <t>ANALYSIS_DATE</t>
  </si>
  <si>
    <t>PARAMETER</t>
  </si>
  <si>
    <t>VALUE</t>
  </si>
  <si>
    <t>MDL</t>
  </si>
  <si>
    <t>RL</t>
  </si>
  <si>
    <t xml:space="preserve">Nothing is mapping to equis quantitation_limit, which gets set to whichever limit is used to determine if something is a detect. </t>
  </si>
  <si>
    <t>RL_NOTE</t>
  </si>
  <si>
    <t>value_length</t>
  </si>
  <si>
    <t>SW2580</t>
  </si>
  <si>
    <t>UNK-TPH</t>
  </si>
  <si>
    <t>SM3500</t>
  </si>
  <si>
    <t>TO-15</t>
  </si>
  <si>
    <t>TO-3</t>
  </si>
  <si>
    <t>add TO-3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</si>
</sst>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0"/>
      <color theme="1"/>
      <name val="Verdana"/>
      <family val="2"/>
      <scheme val="minor"/>
    </font>
    <font>
      <sz val="12"/>
      <color theme="0"/>
      <name val="Verdana"/>
      <family val="2"/>
      <scheme val="minor"/>
    </font>
    <font>
      <sz val="10"/>
      <name val="Verdana"/>
      <family val="2"/>
      <scheme val="minor"/>
    </font>
    <font>
      <b/>
      <sz val="10"/>
      <name val="Verdana"/>
      <family val="2"/>
      <scheme val="minor"/>
    </font>
    <font>
      <b/>
      <sz val="10"/>
      <color theme="0"/>
      <name val="Verdana"/>
      <family val="2"/>
      <scheme val="minor"/>
    </font>
    <font>
      <sz val="12"/>
      <color theme="4"/>
      <name val="Verdana"/>
      <family val="2"/>
      <scheme val="minor"/>
    </font>
    <font>
      <sz val="12"/>
      <name val="Verdana"/>
      <family val="2"/>
      <scheme val="minor"/>
    </font>
    <font>
      <sz val="10"/>
      <color rgb="FFFF3600"/>
      <name val="Verdana"/>
      <family val="2"/>
      <scheme val="minor"/>
    </font>
    <font>
      <i/>
      <sz val="10"/>
      <color theme="1"/>
      <name val="Verdana"/>
      <family val="2"/>
      <scheme val="minor"/>
    </font>
    <font>
      <sz val="12"/>
      <color theme="4"/>
      <name val="Verdana"/>
      <family val="2"/>
      <scheme val="major"/>
    </font>
    <font>
      <b/>
      <sz val="10"/>
      <color theme="1"/>
      <name val="Verdana"/>
      <family val="2"/>
      <scheme val="minor"/>
    </font>
    <font>
      <sz val="10"/>
      <color theme="0"/>
      <name val="Verdana"/>
      <family val="2"/>
      <scheme val="minor"/>
    </font>
    <font>
      <b/>
      <sz val="10"/>
      <name val="Verdana"/>
      <family val="2"/>
    </font>
    <font>
      <b/>
      <sz val="10"/>
      <color indexed="2"/>
      <name val="Tahoma"/>
      <family val="2"/>
    </font>
    <font>
      <b/>
      <u/>
      <sz val="10"/>
      <color indexed="2"/>
      <name val="Tahoma"/>
      <family val="2"/>
    </font>
    <font>
      <b/>
      <sz val="10"/>
      <color indexed="4"/>
      <name val="Tahoma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00EB00"/>
      </patternFill>
    </fill>
    <fill>
      <patternFill patternType="solid">
        <fgColor rgb="FFDCFF00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2"/>
      </patternFill>
    </fill>
    <fill>
      <patternFill patternType="solid">
        <fgColor theme="3"/>
      </patternFill>
    </fill>
    <fill>
      <patternFill patternType="solid">
        <fgColor theme="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3600"/>
      </patternFill>
    </fill>
    <fill>
      <patternFill patternType="solid">
        <fgColor rgb="FFFFFF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B0F0"/>
        <bgColor theme="9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theme="9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23">
    <xf numFmtId="0" fontId="0" fillId="0" borderId="0"/>
    <xf numFmtId="0" fontId="9" fillId="0" borderId="0" applyNumberFormat="0" applyFill="0" applyBorder="0" applyAlignment="0" applyProtection="0"/>
    <xf numFmtId="0" fontId="3" fillId="10" borderId="0" applyNumberFormat="0" applyAlignment="0" applyProtection="0"/>
    <xf numFmtId="0" fontId="3" fillId="0" borderId="5" applyNumberFormat="0" applyFill="0" applyAlignment="0" applyProtection="0"/>
    <xf numFmtId="0" fontId="4" fillId="11" borderId="0" applyNumberFormat="0" applyBorder="0" applyAlignment="0" applyProtection="0"/>
    <xf numFmtId="0" fontId="3" fillId="0" borderId="0" applyNumberFormat="0" applyFill="0" applyBorder="0" applyAlignment="0" applyProtection="0"/>
    <xf numFmtId="0" fontId="2" fillId="6" borderId="0" applyNumberFormat="0" applyBorder="0" applyAlignment="0" applyProtection="0"/>
    <xf numFmtId="0" fontId="11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1" applyNumberFormat="0" applyAlignment="0" applyProtection="0"/>
    <xf numFmtId="0" fontId="3" fillId="8" borderId="2" applyNumberFormat="0" applyAlignment="0" applyProtection="0"/>
    <xf numFmtId="0" fontId="3" fillId="8" borderId="1" applyNumberFormat="0" applyAlignment="0" applyProtection="0"/>
    <xf numFmtId="0" fontId="5" fillId="0" borderId="7" applyNumberFormat="0" applyFill="0" applyAlignment="0" applyProtection="0"/>
    <xf numFmtId="0" fontId="4" fillId="5" borderId="3" applyNumberFormat="0" applyAlignment="0" applyProtection="0"/>
    <xf numFmtId="0" fontId="7" fillId="0" borderId="0" applyNumberFormat="0" applyFill="0" applyBorder="0" applyAlignment="0" applyProtection="0"/>
    <xf numFmtId="0" fontId="6" fillId="0" borderId="4" applyNumberFormat="0" applyAlignment="0" applyProtection="0"/>
    <xf numFmtId="0" fontId="8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3" fillId="10" borderId="0"/>
    <xf numFmtId="0" fontId="12" fillId="12" borderId="0"/>
  </cellStyleXfs>
  <cellXfs count="28">
    <xf numFmtId="0" fontId="0" fillId="0" borderId="0" xfId="0"/>
    <xf numFmtId="0" fontId="2" fillId="0" borderId="0" xfId="0" applyFont="1"/>
    <xf numFmtId="0" fontId="13" fillId="14" borderId="0" xfId="0" applyFont="1" applyFill="1"/>
    <xf numFmtId="0" fontId="14" fillId="14" borderId="0" xfId="0" applyFont="1" applyFill="1"/>
    <xf numFmtId="0" fontId="15" fillId="14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 wrapText="1"/>
    </xf>
    <xf numFmtId="0" fontId="2" fillId="0" borderId="0" xfId="0" applyFont="1" applyAlignment="1">
      <alignment horizontal="right"/>
    </xf>
    <xf numFmtId="0" fontId="0" fillId="16" borderId="8" xfId="0" applyFill="1" applyBorder="1"/>
    <xf numFmtId="0" fontId="0" fillId="0" borderId="8" xfId="0" applyBorder="1"/>
    <xf numFmtId="0" fontId="0" fillId="16" borderId="0" xfId="0" applyFill="1"/>
    <xf numFmtId="0" fontId="0" fillId="17" borderId="8" xfId="0" applyFill="1" applyBorder="1"/>
    <xf numFmtId="0" fontId="0" fillId="18" borderId="0" xfId="0" applyFill="1"/>
    <xf numFmtId="0" fontId="0" fillId="0" borderId="9" xfId="0" applyBorder="1"/>
    <xf numFmtId="0" fontId="0" fillId="16" borderId="9" xfId="0" applyFill="1" applyBorder="1"/>
    <xf numFmtId="0" fontId="16" fillId="0" borderId="0" xfId="0" applyFont="1"/>
    <xf numFmtId="0" fontId="17" fillId="19" borderId="0" xfId="0" applyFont="1" applyFill="1"/>
    <xf numFmtId="0" fontId="17" fillId="20" borderId="0" xfId="0" applyFont="1" applyFill="1"/>
    <xf numFmtId="0" fontId="18" fillId="0" borderId="0" xfId="0" applyFont="1"/>
    <xf numFmtId="0" fontId="18" fillId="21" borderId="0" xfId="0" applyFont="1" applyFill="1"/>
    <xf numFmtId="0" fontId="19" fillId="0" borderId="0" xfId="0" applyFont="1"/>
    <xf numFmtId="0" fontId="2" fillId="18" borderId="0" xfId="0" applyFont="1" applyFill="1"/>
    <xf numFmtId="0" fontId="18" fillId="0" borderId="0" xfId="0" applyFont="1" applyFill="1"/>
    <xf numFmtId="0" fontId="3" fillId="15" borderId="0" xfId="0" applyFont="1" applyFill="1" applyAlignment="1">
      <alignment horizontal="right" wrapText="1"/>
    </xf>
    <xf numFmtId="0" fontId="3" fillId="15" borderId="0" xfId="0" applyFont="1" applyFill="1" applyAlignment="1">
      <alignment wrapText="1"/>
    </xf>
    <xf numFmtId="0" fontId="10" fillId="0" borderId="0" xfId="0" applyFont="1"/>
    <xf numFmtId="0" fontId="3" fillId="0" borderId="0" xfId="0" applyFont="1"/>
  </cellXfs>
  <cellStyles count="23">
    <cellStyle name="Accent3" xfId="18" builtinId="37" customBuiltin="1"/>
    <cellStyle name="Accent4" xfId="19" builtinId="41" customBuiltin="1"/>
    <cellStyle name="Accent5" xfId="20" builtinId="45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Sub-header" xfId="22" xr:uid="{C6EFD1BB-A2C3-E845-BE80-924550D97F4F}"/>
    <cellStyle name="Table header" xfId="21" xr:uid="{3C8134F2-EEAD-0147-AE5F-AB92DC5F81EB}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3"/>
        </patternFill>
      </fill>
    </dxf>
    <dxf>
      <font>
        <b val="0"/>
        <i val="0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</dxfs>
  <tableStyles count="1" defaultTableStyle="ERM table 1" defaultPivotStyle="PivotStyleLight16">
    <tableStyle name="ERM table 1" pivot="0" count="2" xr9:uid="{D894E281-B236-4745-8EC9-44A57C0774B5}">
      <tableStyleElement type="wholeTable" dxfId="1"/>
      <tableStyleElement type="headerRow" dxfId="0"/>
    </tableStyle>
  </tableStyles>
  <colors>
    <mruColors>
      <color rgb="FFFF3600"/>
      <color rgb="FFD9D9D9"/>
      <color rgb="FFDCFF00"/>
      <color rgb="FF00E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heermgroupnam-my.sharepoint.com/personal/anna_bottum_erm_com/Documents/PROJECTS/ExxonMobil/2025/Geotracker/EQuIS_Geotracker_RefVals.xlsx" TargetMode="External"/><Relationship Id="rId1" Type="http://schemas.openxmlformats.org/officeDocument/2006/relationships/externalLinkPath" Target="EQuIS_Geotracker_RefVal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na.bottum\AppData\Local\Microsoft\Windows\INetCache\Content.Outlook\YA5AI6XR\rt_sample_type_20260223.xlsx" TargetMode="External"/><Relationship Id="rId1" Type="http://schemas.openxmlformats.org/officeDocument/2006/relationships/externalLinkPath" Target="file:///C:\Users\anna.bottum\AppData\Local\Microsoft\Windows\INetCache\Content.Outlook\YA5AI6XR\rt_sample_type_202602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t Information"/>
      <sheetName val="rt_lookup"/>
      <sheetName val="rt_remap"/>
      <sheetName val="rt_remap_detail"/>
    </sheetNames>
    <sheetDataSet>
      <sheetData sheetId="0"/>
      <sheetData sheetId="1"/>
      <sheetData sheetId="2"/>
      <sheetData sheetId="3">
        <row r="3">
          <cell r="E3" t="str">
            <v>Picloram</v>
          </cell>
          <cell r="F3" t="str">
            <v>1918-02-1</v>
          </cell>
        </row>
        <row r="4">
          <cell r="E4" t="str">
            <v>Osmium</v>
          </cell>
          <cell r="F4" t="str">
            <v>7440-04-2</v>
          </cell>
        </row>
        <row r="5">
          <cell r="E5" t="str">
            <v>Hydrogen Sulfide</v>
          </cell>
          <cell r="F5" t="str">
            <v>7783-06-4</v>
          </cell>
        </row>
        <row r="6">
          <cell r="E6" t="str">
            <v>1,4-Dinitrobenzene</v>
          </cell>
          <cell r="F6" t="str">
            <v>100-25-4</v>
          </cell>
        </row>
        <row r="7">
          <cell r="E7" t="str">
            <v>Tritium (Hydrogen 3)</v>
          </cell>
          <cell r="F7" t="str">
            <v>10028-17-8</v>
          </cell>
        </row>
        <row r="8">
          <cell r="E8" t="str">
            <v>Ethylbenzene</v>
          </cell>
          <cell r="F8" t="str">
            <v>100-41-4</v>
          </cell>
        </row>
        <row r="9">
          <cell r="E9" t="str">
            <v>Iodine-131</v>
          </cell>
          <cell r="F9" t="str">
            <v>10043-66-0</v>
          </cell>
        </row>
        <row r="10">
          <cell r="E10" t="str">
            <v>trans-1,3-Dichloropropene</v>
          </cell>
          <cell r="F10" t="str">
            <v>10061-02-6</v>
          </cell>
        </row>
        <row r="11">
          <cell r="E11" t="str">
            <v>n-Nitrosopiperidine</v>
          </cell>
          <cell r="F11" t="str">
            <v>100-75-4</v>
          </cell>
        </row>
        <row r="12">
          <cell r="E12" t="str">
            <v>n-Butylbenzene</v>
          </cell>
          <cell r="F12" t="str">
            <v>104-51-8</v>
          </cell>
        </row>
        <row r="13">
          <cell r="E13" t="str">
            <v>n-Nitrosomethylethylamine</v>
          </cell>
          <cell r="F13" t="str">
            <v>10595-95-6</v>
          </cell>
        </row>
        <row r="14">
          <cell r="E14" t="str">
            <v>1,4-Dichlorobenzene</v>
          </cell>
          <cell r="F14" t="str">
            <v>106-46-7</v>
          </cell>
        </row>
        <row r="15">
          <cell r="E15" t="str">
            <v>p-Benzoquinone</v>
          </cell>
          <cell r="F15" t="str">
            <v>106-51-4</v>
          </cell>
        </row>
        <row r="16">
          <cell r="E16" t="str">
            <v>1,2-Epoxybutane</v>
          </cell>
          <cell r="F16" t="str">
            <v>106-88-7</v>
          </cell>
        </row>
        <row r="17">
          <cell r="E17" t="str">
            <v>1,2-Dibromoethane</v>
          </cell>
          <cell r="F17" t="str">
            <v>106-93-4</v>
          </cell>
        </row>
        <row r="18">
          <cell r="E18" t="str">
            <v>1,3-Butadiene</v>
          </cell>
          <cell r="F18" t="str">
            <v>106-99-0</v>
          </cell>
        </row>
        <row r="19">
          <cell r="E19" t="str">
            <v>1-Bromo-2-chloroethane</v>
          </cell>
          <cell r="F19" t="str">
            <v>107-04-0</v>
          </cell>
        </row>
        <row r="20">
          <cell r="E20" t="str">
            <v>1,2-Dichloroethane</v>
          </cell>
          <cell r="F20" t="str">
            <v>107-06-2</v>
          </cell>
        </row>
        <row r="21">
          <cell r="E21" t="str">
            <v>Glyphosate</v>
          </cell>
          <cell r="F21" t="str">
            <v>1071-83-6</v>
          </cell>
        </row>
        <row r="22">
          <cell r="E22" t="str">
            <v>Ethylene glycol</v>
          </cell>
          <cell r="F22" t="str">
            <v>107-21-1</v>
          </cell>
        </row>
        <row r="23">
          <cell r="E23" t="str">
            <v>Vinyl acetate</v>
          </cell>
          <cell r="F23" t="str">
            <v>108-05-4</v>
          </cell>
        </row>
        <row r="24">
          <cell r="E24" t="str">
            <v>Isopropyl Acetate</v>
          </cell>
          <cell r="F24" t="str">
            <v>108-21-4</v>
          </cell>
        </row>
        <row r="25">
          <cell r="E25" t="str">
            <v>Resorcinol</v>
          </cell>
          <cell r="F25" t="str">
            <v>108-46-3</v>
          </cell>
        </row>
        <row r="26">
          <cell r="E26" t="str">
            <v>1,3,5-Trimethylbenzene</v>
          </cell>
          <cell r="F26" t="str">
            <v>108-67-8</v>
          </cell>
        </row>
        <row r="27">
          <cell r="E27" t="str">
            <v>1,3,5-Trichlorobenzene</v>
          </cell>
          <cell r="F27" t="str">
            <v>108-70-3</v>
          </cell>
        </row>
        <row r="28">
          <cell r="E28" t="str">
            <v>Toluene</v>
          </cell>
          <cell r="F28" t="str">
            <v>108-88-3</v>
          </cell>
        </row>
        <row r="29">
          <cell r="E29" t="str">
            <v>Phenol</v>
          </cell>
          <cell r="F29" t="str">
            <v>108-95-2</v>
          </cell>
        </row>
        <row r="30">
          <cell r="E30" t="str">
            <v>Pentanoic Acid</v>
          </cell>
          <cell r="F30" t="str">
            <v>109-52-4</v>
          </cell>
        </row>
        <row r="31">
          <cell r="E31" t="str">
            <v>n-Propyl Acetate</v>
          </cell>
          <cell r="F31" t="str">
            <v>109-60-4</v>
          </cell>
        </row>
        <row r="32">
          <cell r="E32" t="str">
            <v>Pentane</v>
          </cell>
          <cell r="F32" t="str">
            <v>109-66-0</v>
          </cell>
        </row>
        <row r="33">
          <cell r="E33" t="str">
            <v>1-Pentene</v>
          </cell>
          <cell r="F33" t="str">
            <v>109-67-1</v>
          </cell>
        </row>
        <row r="34">
          <cell r="E34" t="str">
            <v>Malononitrile</v>
          </cell>
          <cell r="F34" t="str">
            <v>109-77-3</v>
          </cell>
        </row>
        <row r="35">
          <cell r="E35" t="str">
            <v>1,4-Dichlorobutane</v>
          </cell>
          <cell r="F35" t="str">
            <v>110-56-5</v>
          </cell>
        </row>
        <row r="36">
          <cell r="E36" t="str">
            <v>trans-1,4-Dichloro-2-butene</v>
          </cell>
          <cell r="F36" t="str">
            <v>110-57-6</v>
          </cell>
        </row>
        <row r="37">
          <cell r="E37" t="str">
            <v>Pentanal</v>
          </cell>
          <cell r="F37" t="str">
            <v>110-62-3</v>
          </cell>
        </row>
        <row r="38">
          <cell r="E38" t="str">
            <v>1-Hexanol</v>
          </cell>
          <cell r="F38" t="str">
            <v>111-27-3</v>
          </cell>
        </row>
        <row r="39">
          <cell r="E39" t="str">
            <v>Pebulate</v>
          </cell>
          <cell r="F39" t="str">
            <v>1114-71-2</v>
          </cell>
        </row>
        <row r="40">
          <cell r="E40" t="str">
            <v>N-Nitrosodiethanolamine</v>
          </cell>
          <cell r="F40" t="str">
            <v>1116-54-7</v>
          </cell>
        </row>
        <row r="41">
          <cell r="E41" t="str">
            <v>C8 as n-Octane</v>
          </cell>
          <cell r="F41" t="str">
            <v>111-65-9</v>
          </cell>
        </row>
        <row r="42">
          <cell r="E42" t="str">
            <v>Nonane</v>
          </cell>
          <cell r="F42" t="str">
            <v>111-84-2</v>
          </cell>
        </row>
        <row r="43">
          <cell r="E43" t="str">
            <v>Undecane</v>
          </cell>
          <cell r="F43" t="str">
            <v>1120-21-4</v>
          </cell>
        </row>
        <row r="44">
          <cell r="E44" t="str">
            <v>Triethylene glycol</v>
          </cell>
          <cell r="F44" t="str">
            <v>112-27-6</v>
          </cell>
        </row>
        <row r="45">
          <cell r="E45" t="str">
            <v>Triphenyl phosphate</v>
          </cell>
          <cell r="F45" t="str">
            <v>115-86-6</v>
          </cell>
        </row>
        <row r="46">
          <cell r="E46" t="str">
            <v>Isosafrole</v>
          </cell>
          <cell r="F46" t="str">
            <v>120-58-1</v>
          </cell>
        </row>
        <row r="47">
          <cell r="E47" t="str">
            <v>p-Cresidine</v>
          </cell>
          <cell r="F47" t="str">
            <v>120-71-8</v>
          </cell>
        </row>
        <row r="48">
          <cell r="E48" t="str">
            <v>1,2,4-Trichlorobenzene</v>
          </cell>
          <cell r="F48" t="str">
            <v>120-82-1</v>
          </cell>
        </row>
        <row r="49">
          <cell r="E49" t="str">
            <v>Zineb</v>
          </cell>
          <cell r="F49" t="str">
            <v>12122-67-7</v>
          </cell>
        </row>
        <row r="50">
          <cell r="E50" t="str">
            <v>Triethylamine</v>
          </cell>
          <cell r="F50" t="str">
            <v>121-44-8</v>
          </cell>
        </row>
        <row r="51">
          <cell r="E51" t="str">
            <v>Malathion</v>
          </cell>
          <cell r="F51" t="str">
            <v>121-75-5</v>
          </cell>
        </row>
        <row r="52">
          <cell r="E52" t="str">
            <v>Hexahydro-1,3,5-trinitro-1,3,5-triazine</v>
          </cell>
          <cell r="F52" t="str">
            <v>121-82-4</v>
          </cell>
        </row>
        <row r="53">
          <cell r="E53" t="str">
            <v>1,2-Diphenylhydrazine</v>
          </cell>
          <cell r="F53" t="str">
            <v>122-66-7</v>
          </cell>
        </row>
        <row r="54">
          <cell r="E54" t="str">
            <v>Hydroquinone</v>
          </cell>
          <cell r="F54" t="str">
            <v>123-31-9</v>
          </cell>
        </row>
        <row r="55">
          <cell r="E55" t="str">
            <v>Paraldehyde</v>
          </cell>
          <cell r="F55" t="str">
            <v>123-63-7</v>
          </cell>
        </row>
        <row r="56">
          <cell r="E56" t="str">
            <v>1,4-Dioxane</v>
          </cell>
          <cell r="F56" t="str">
            <v>123-91-1</v>
          </cell>
        </row>
        <row r="57">
          <cell r="E57" t="str">
            <v>Octanal</v>
          </cell>
          <cell r="F57" t="str">
            <v>124-13-0</v>
          </cell>
        </row>
        <row r="58">
          <cell r="E58" t="str">
            <v>Maneb</v>
          </cell>
          <cell r="F58" t="str">
            <v>12427-38-2</v>
          </cell>
        </row>
        <row r="59">
          <cell r="E59" t="str">
            <v>o,o,o-Triethyl phosphorothioate</v>
          </cell>
          <cell r="F59" t="str">
            <v>126-68-1</v>
          </cell>
        </row>
        <row r="60">
          <cell r="E60" t="str">
            <v>Tris(2,3-dibromopropyl)phosphate</v>
          </cell>
          <cell r="F60" t="str">
            <v>126-72-7</v>
          </cell>
        </row>
        <row r="61">
          <cell r="E61" t="str">
            <v>Tributyl phosphate</v>
          </cell>
          <cell r="F61" t="str">
            <v>126-73-8</v>
          </cell>
        </row>
        <row r="62">
          <cell r="E62" t="str">
            <v>1,4-Naphthoquinone</v>
          </cell>
          <cell r="F62" t="str">
            <v>130-15-4</v>
          </cell>
        </row>
        <row r="63">
          <cell r="E63" t="str">
            <v>Phenol-d6</v>
          </cell>
          <cell r="F63" t="str">
            <v>13127-88-3</v>
          </cell>
        </row>
        <row r="64">
          <cell r="E64" t="str">
            <v>Phosphamidon</v>
          </cell>
          <cell r="F64" t="str">
            <v>13171-21-6</v>
          </cell>
        </row>
        <row r="65">
          <cell r="E65" t="str">
            <v>Xylenes</v>
          </cell>
          <cell r="F65" t="str">
            <v>1330-20-7</v>
          </cell>
        </row>
        <row r="66">
          <cell r="E66" t="str">
            <v>Hydrogen</v>
          </cell>
          <cell r="F66" t="str">
            <v>1333-74-0</v>
          </cell>
        </row>
        <row r="67">
          <cell r="E67" t="str">
            <v>1-Naphthylamine</v>
          </cell>
          <cell r="F67" t="str">
            <v>134-32-7</v>
          </cell>
        </row>
        <row r="68">
          <cell r="E68" t="str">
            <v>Ziram</v>
          </cell>
          <cell r="F68" t="str">
            <v>137-30-4</v>
          </cell>
        </row>
        <row r="69">
          <cell r="E69" t="str">
            <v>Uranium-234</v>
          </cell>
          <cell r="F69" t="str">
            <v>13966-29-5</v>
          </cell>
        </row>
        <row r="70">
          <cell r="E70" t="str">
            <v>Zinc-65</v>
          </cell>
          <cell r="F70" t="str">
            <v>13982-39-3</v>
          </cell>
        </row>
        <row r="71">
          <cell r="E71" t="str">
            <v>Ethyl acetate</v>
          </cell>
          <cell r="F71" t="str">
            <v>141-78-6</v>
          </cell>
        </row>
        <row r="72">
          <cell r="E72" t="str">
            <v>1,3-Dichloropropane</v>
          </cell>
          <cell r="F72" t="str">
            <v>142-28-9</v>
          </cell>
        </row>
        <row r="73">
          <cell r="E73" t="str">
            <v>Lead-210</v>
          </cell>
          <cell r="F73" t="str">
            <v>14255-04-0</v>
          </cell>
        </row>
        <row r="74">
          <cell r="E74" t="str">
            <v>Phosphate, Total ( as P)</v>
          </cell>
          <cell r="F74" t="str">
            <v>14265-44-2</v>
          </cell>
        </row>
        <row r="75">
          <cell r="E75" t="str">
            <v>Kepone</v>
          </cell>
          <cell r="F75" t="str">
            <v>143-50-0</v>
          </cell>
        </row>
        <row r="76">
          <cell r="E76" t="str">
            <v>Nitrate</v>
          </cell>
          <cell r="F76" t="str">
            <v>14797-55-8</v>
          </cell>
        </row>
        <row r="77">
          <cell r="E77" t="str">
            <v>Nitrite</v>
          </cell>
          <cell r="F77" t="str">
            <v>14797-65-0</v>
          </cell>
        </row>
        <row r="78">
          <cell r="E78" t="str">
            <v>Perchlorate</v>
          </cell>
          <cell r="F78" t="str">
            <v>14797-73-0</v>
          </cell>
        </row>
        <row r="79">
          <cell r="E79" t="str">
            <v>Merphos</v>
          </cell>
          <cell r="F79" t="str">
            <v>150-50-5</v>
          </cell>
        </row>
        <row r="80">
          <cell r="E80" t="str">
            <v>Lead-214</v>
          </cell>
          <cell r="F80" t="str">
            <v>15067-28-4</v>
          </cell>
        </row>
        <row r="81">
          <cell r="E81" t="str">
            <v>Monuron</v>
          </cell>
          <cell r="F81" t="str">
            <v>150-68-5</v>
          </cell>
        </row>
        <row r="82">
          <cell r="E82" t="str">
            <v>Lead-212</v>
          </cell>
          <cell r="F82" t="str">
            <v>15092-94-1</v>
          </cell>
        </row>
        <row r="83">
          <cell r="E83" t="str">
            <v>Uranium-235</v>
          </cell>
          <cell r="F83" t="str">
            <v>15117-96-1</v>
          </cell>
        </row>
        <row r="84">
          <cell r="E84" t="str">
            <v>Napropamide</v>
          </cell>
          <cell r="F84" t="str">
            <v>15299-99-7</v>
          </cell>
        </row>
        <row r="85">
          <cell r="E85" t="str">
            <v>trans-1,2-Dichloroethene</v>
          </cell>
          <cell r="F85" t="str">
            <v>156-60-5</v>
          </cell>
        </row>
        <row r="86">
          <cell r="E86" t="str">
            <v>Trifluralin</v>
          </cell>
          <cell r="F86" t="str">
            <v>1582-09-8</v>
          </cell>
        </row>
        <row r="87">
          <cell r="E87" t="str">
            <v>1,4-Oxathiane</v>
          </cell>
          <cell r="F87" t="str">
            <v>15980-15-1</v>
          </cell>
        </row>
        <row r="88">
          <cell r="E88" t="str">
            <v>Methyl-tert-butyl ether (MTBE)</v>
          </cell>
          <cell r="F88" t="str">
            <v>1634-04-4</v>
          </cell>
        </row>
        <row r="89">
          <cell r="E89" t="str">
            <v>Methomyl</v>
          </cell>
          <cell r="F89" t="str">
            <v>16752-77-5</v>
          </cell>
        </row>
        <row r="90">
          <cell r="E90" t="str">
            <v>1,2-Dichloroethane-d4</v>
          </cell>
          <cell r="F90" t="str">
            <v>17060-07-0</v>
          </cell>
        </row>
        <row r="91">
          <cell r="E91" t="str">
            <v>1,4-Dioxane-d8</v>
          </cell>
          <cell r="F91" t="str">
            <v>17647-74-4</v>
          </cell>
        </row>
        <row r="92">
          <cell r="E92" t="str">
            <v>Oryzalin</v>
          </cell>
          <cell r="F92" t="str">
            <v>19044-88-3</v>
          </cell>
        </row>
        <row r="93">
          <cell r="E93" t="str">
            <v>Paraquat</v>
          </cell>
          <cell r="F93" t="str">
            <v>1910-42-5</v>
          </cell>
        </row>
        <row r="94">
          <cell r="E94" t="str">
            <v>Indeno(1,2,3-cd)pyrene</v>
          </cell>
          <cell r="F94" t="str">
            <v>193-39-5</v>
          </cell>
        </row>
        <row r="95">
          <cell r="E95" t="str">
            <v>1,2,3,7,8,9-Hexachlorodibenzo-p-dioxin</v>
          </cell>
          <cell r="F95" t="str">
            <v>19408-74-3</v>
          </cell>
        </row>
        <row r="96">
          <cell r="E96" t="str">
            <v>Perylene</v>
          </cell>
          <cell r="F96" t="str">
            <v>198-55-0</v>
          </cell>
        </row>
        <row r="97">
          <cell r="E97" t="str">
            <v>Methiocarb</v>
          </cell>
          <cell r="F97" t="str">
            <v>2032-65-7</v>
          </cell>
        </row>
        <row r="98">
          <cell r="E98" t="str">
            <v>Toluene-d8</v>
          </cell>
          <cell r="F98" t="str">
            <v>2037-26-5</v>
          </cell>
        </row>
        <row r="99">
          <cell r="E99" t="str">
            <v>Iodide (as I)</v>
          </cell>
          <cell r="F99" t="str">
            <v>20461-54-5</v>
          </cell>
        </row>
        <row r="100">
          <cell r="E100" t="str">
            <v>Metribuzin</v>
          </cell>
          <cell r="F100" t="str">
            <v>21087-64-9</v>
          </cell>
        </row>
        <row r="101">
          <cell r="E101" t="str">
            <v>Molinate</v>
          </cell>
          <cell r="F101" t="str">
            <v>2212-67-1</v>
          </cell>
        </row>
        <row r="102">
          <cell r="E102" t="str">
            <v>Methyl mercury</v>
          </cell>
          <cell r="F102" t="str">
            <v>22967-92-6</v>
          </cell>
        </row>
        <row r="103">
          <cell r="E103" t="str">
            <v>Triallate</v>
          </cell>
          <cell r="F103" t="str">
            <v>2303-17-5</v>
          </cell>
        </row>
        <row r="104">
          <cell r="E104" t="str">
            <v>Phosalone</v>
          </cell>
          <cell r="F104" t="str">
            <v>2310-17-0</v>
          </cell>
        </row>
        <row r="105">
          <cell r="E105" t="str">
            <v>Oxamyl</v>
          </cell>
          <cell r="F105" t="str">
            <v>23135-22-0</v>
          </cell>
        </row>
        <row r="106">
          <cell r="E106" t="str">
            <v>Mirex</v>
          </cell>
          <cell r="F106" t="str">
            <v>2385-85-5</v>
          </cell>
        </row>
        <row r="107">
          <cell r="E107" t="str">
            <v>Isofenphos</v>
          </cell>
          <cell r="F107" t="str">
            <v>25311-71-1</v>
          </cell>
        </row>
        <row r="108">
          <cell r="E108" t="str">
            <v>Trichlorobiphenyl</v>
          </cell>
          <cell r="F108" t="str">
            <v>25323-68-6</v>
          </cell>
        </row>
        <row r="109">
          <cell r="E109" t="str">
            <v>Trichloropropane</v>
          </cell>
          <cell r="F109" t="str">
            <v>25735-29-9</v>
          </cell>
        </row>
        <row r="110">
          <cell r="E110" t="str">
            <v>Toluene diisocyanate</v>
          </cell>
          <cell r="F110" t="str">
            <v>26471-62-5</v>
          </cell>
        </row>
        <row r="111">
          <cell r="E111" t="str">
            <v>Octahydro-1,3,5,7-tetranitro-1,3,5,7-tetrazocine</v>
          </cell>
          <cell r="F111" t="str">
            <v>2691-41-0</v>
          </cell>
        </row>
        <row r="112">
          <cell r="E112" t="str">
            <v>Oxychlordane</v>
          </cell>
          <cell r="F112" t="str">
            <v>27304-13-8</v>
          </cell>
        </row>
        <row r="113">
          <cell r="E113" t="str">
            <v>Norflurazon</v>
          </cell>
          <cell r="F113" t="str">
            <v>27314-13-2</v>
          </cell>
        </row>
        <row r="114">
          <cell r="E114" t="str">
            <v>Monochlorobiphenyl</v>
          </cell>
          <cell r="F114" t="str">
            <v>27323-18-8</v>
          </cell>
        </row>
        <row r="115">
          <cell r="E115" t="str">
            <v>Phorate</v>
          </cell>
          <cell r="F115" t="str">
            <v>298-02-2</v>
          </cell>
        </row>
        <row r="116">
          <cell r="E116" t="str">
            <v>Naled</v>
          </cell>
          <cell r="F116" t="str">
            <v>300-76-5</v>
          </cell>
        </row>
        <row r="117">
          <cell r="E117" t="str">
            <v>Hydrazine</v>
          </cell>
          <cell r="F117" t="str">
            <v>302-01-2</v>
          </cell>
        </row>
        <row r="118">
          <cell r="E118" t="str">
            <v>Mexacarbate</v>
          </cell>
          <cell r="F118" t="str">
            <v>315-18-4</v>
          </cell>
        </row>
        <row r="119">
          <cell r="E119" t="str">
            <v>Trichloronate</v>
          </cell>
          <cell r="F119" t="str">
            <v>327-98-0</v>
          </cell>
        </row>
        <row r="120">
          <cell r="E120" t="str">
            <v>Linuron</v>
          </cell>
          <cell r="F120" t="str">
            <v>330-55-2</v>
          </cell>
        </row>
        <row r="121">
          <cell r="E121" t="str">
            <v>1-Chlorooctadecane</v>
          </cell>
          <cell r="F121" t="str">
            <v>3386-33-2</v>
          </cell>
        </row>
        <row r="122">
          <cell r="E122" t="str">
            <v>Total Hexachlorodibenzo-p-dioxins (HxCDD)</v>
          </cell>
          <cell r="F122" t="str">
            <v>34465-46-8</v>
          </cell>
        </row>
        <row r="123">
          <cell r="E123" t="str">
            <v>1,2-Dichloro-1,1,2-trifluoroethane</v>
          </cell>
          <cell r="F123" t="str">
            <v>354-23-4</v>
          </cell>
        </row>
        <row r="124">
          <cell r="E124" t="str">
            <v>1,2,3,4,6,7,8-Heptachlorodibenzo-p-dioxin</v>
          </cell>
          <cell r="F124" t="str">
            <v>35822-46-9</v>
          </cell>
        </row>
        <row r="125">
          <cell r="E125" t="str">
            <v>Total Pentachlorodibenzo-p-dioxin (PeCDD)</v>
          </cell>
          <cell r="F125" t="str">
            <v>36088-22-9</v>
          </cell>
        </row>
        <row r="126">
          <cell r="E126" t="str">
            <v>Total Heptachlorodibenzo-p-dioxins (HpCDD)</v>
          </cell>
          <cell r="F126" t="str">
            <v>37871-00-4</v>
          </cell>
        </row>
        <row r="127">
          <cell r="E127" t="str">
            <v>1,4 Dichlorobenzene-d4</v>
          </cell>
          <cell r="F127" t="str">
            <v>3855-82-1</v>
          </cell>
        </row>
        <row r="128">
          <cell r="E128" t="str">
            <v>Octachlorodibenzofuran</v>
          </cell>
          <cell r="F128" t="str">
            <v>39001-02-0</v>
          </cell>
        </row>
        <row r="129">
          <cell r="E129" t="str">
            <v>1,2,3,4,7,8-Hexachlorodibenzo-p-dioxin</v>
          </cell>
          <cell r="F129" t="str">
            <v>39227-28-6</v>
          </cell>
        </row>
        <row r="130">
          <cell r="E130" t="str">
            <v>trans-Nonachlor</v>
          </cell>
          <cell r="F130" t="str">
            <v>39765-80-5</v>
          </cell>
        </row>
        <row r="131">
          <cell r="E131" t="str">
            <v>1,2,3,7,8-Pentachlorodibenzo-p-dioxin</v>
          </cell>
          <cell r="F131" t="str">
            <v>40321-76-4</v>
          </cell>
        </row>
        <row r="132">
          <cell r="E132" t="str">
            <v>trans-Isosafrole</v>
          </cell>
          <cell r="F132" t="str">
            <v>4043-71-4</v>
          </cell>
        </row>
        <row r="133">
          <cell r="E133" t="str">
            <v>Penoxalin (Pendimethalin)</v>
          </cell>
          <cell r="F133" t="str">
            <v>40487-42-1</v>
          </cell>
        </row>
        <row r="134">
          <cell r="E134" t="str">
            <v>Nitrobenzene-d5</v>
          </cell>
          <cell r="F134" t="str">
            <v>4165-60-0</v>
          </cell>
        </row>
        <row r="135">
          <cell r="E135" t="str">
            <v>Phenol-d5</v>
          </cell>
          <cell r="F135" t="str">
            <v>4165-62-2</v>
          </cell>
        </row>
        <row r="136">
          <cell r="E136" t="str">
            <v>Isodrin</v>
          </cell>
          <cell r="F136" t="str">
            <v>465-73-6</v>
          </cell>
        </row>
        <row r="137">
          <cell r="E137" t="str">
            <v>Phenobarbital</v>
          </cell>
          <cell r="F137" t="str">
            <v>50-06-6</v>
          </cell>
        </row>
        <row r="138">
          <cell r="E138" t="str">
            <v>1,4-Dithiane</v>
          </cell>
          <cell r="F138" t="str">
            <v>505-29-3</v>
          </cell>
        </row>
        <row r="139">
          <cell r="E139" t="str">
            <v>Total Petroleum Hydrocarbons (TPH) as JP-4</v>
          </cell>
          <cell r="F139" t="str">
            <v>50815-00-4</v>
          </cell>
        </row>
        <row r="140">
          <cell r="E140" t="str">
            <v>Metolachlor</v>
          </cell>
          <cell r="F140" t="str">
            <v>51218-45-2</v>
          </cell>
        </row>
        <row r="141">
          <cell r="E141" t="str">
            <v>Hexazinone</v>
          </cell>
          <cell r="F141" t="str">
            <v>51235-04-2</v>
          </cell>
        </row>
        <row r="142">
          <cell r="E142" t="str">
            <v>Trimethyl phosphate</v>
          </cell>
          <cell r="F142" t="str">
            <v>512-56-1</v>
          </cell>
        </row>
        <row r="143">
          <cell r="E143" t="str">
            <v>1,1-Dichloropropanone</v>
          </cell>
          <cell r="F143" t="str">
            <v>513-88-2</v>
          </cell>
        </row>
        <row r="144">
          <cell r="E144" t="str">
            <v>Ethyl carbamate</v>
          </cell>
          <cell r="F144" t="str">
            <v>51-79-6</v>
          </cell>
        </row>
        <row r="145">
          <cell r="E145" t="str">
            <v>Permethrin</v>
          </cell>
          <cell r="F145" t="str">
            <v>52645-53-1</v>
          </cell>
        </row>
        <row r="146">
          <cell r="E146" t="str">
            <v>1,2,3-Trimethylbenzene</v>
          </cell>
          <cell r="F146" t="str">
            <v>526-73-8</v>
          </cell>
        </row>
        <row r="147">
          <cell r="E147" t="str">
            <v>Trichlorfon</v>
          </cell>
          <cell r="F147" t="str">
            <v>52-68-6</v>
          </cell>
        </row>
        <row r="148">
          <cell r="E148" t="str">
            <v>1,2-Dinitrobenzene</v>
          </cell>
          <cell r="F148" t="str">
            <v>528-29-0</v>
          </cell>
        </row>
        <row r="149">
          <cell r="E149" t="str">
            <v>Nonachlorobiphenyl</v>
          </cell>
          <cell r="F149" t="str">
            <v>53742-07-7</v>
          </cell>
        </row>
        <row r="150">
          <cell r="E150" t="str">
            <v>Isobutylbenzene</v>
          </cell>
          <cell r="F150" t="str">
            <v>538-93-2</v>
          </cell>
        </row>
        <row r="151">
          <cell r="E151" t="str">
            <v>1,4-Difluorobenzene</v>
          </cell>
          <cell r="F151" t="str">
            <v>540-36-3</v>
          </cell>
        </row>
        <row r="152">
          <cell r="E152" t="str">
            <v>1,2-Dichloroethene, Total</v>
          </cell>
          <cell r="F152" t="str">
            <v>540-59-0</v>
          </cell>
        </row>
        <row r="153">
          <cell r="E153" t="str">
            <v>1,3-Dichlorobenzene</v>
          </cell>
          <cell r="F153" t="str">
            <v>541-73-1</v>
          </cell>
        </row>
        <row r="154">
          <cell r="E154" t="str">
            <v>1,3-Dichloropropene (Total)</v>
          </cell>
          <cell r="F154" t="str">
            <v>542-75-6</v>
          </cell>
        </row>
        <row r="155">
          <cell r="E155" t="str">
            <v>1-Chlorohexane</v>
          </cell>
          <cell r="F155" t="str">
            <v>544-10-5</v>
          </cell>
        </row>
        <row r="156">
          <cell r="E156" t="str">
            <v>n-Nitrosodiethylamine</v>
          </cell>
          <cell r="F156" t="str">
            <v>55-18-5</v>
          </cell>
        </row>
        <row r="157">
          <cell r="E157" t="str">
            <v>Neburon</v>
          </cell>
          <cell r="F157" t="str">
            <v>555-37-3</v>
          </cell>
        </row>
        <row r="158">
          <cell r="E158" t="str">
            <v>Nitroglycerin</v>
          </cell>
          <cell r="F158" t="str">
            <v>55-63-0</v>
          </cell>
        </row>
        <row r="159">
          <cell r="E159" t="str">
            <v>1,2,3,4,7,8,9-Heptachlorodibenzofuran</v>
          </cell>
          <cell r="F159" t="str">
            <v>55673-89-7</v>
          </cell>
        </row>
        <row r="160">
          <cell r="E160" t="str">
            <v>Nitroguanidine</v>
          </cell>
          <cell r="F160" t="str">
            <v>556-88-7</v>
          </cell>
        </row>
        <row r="161">
          <cell r="E161" t="str">
            <v>Octachlorobiphenyl</v>
          </cell>
          <cell r="F161" t="str">
            <v>55722-26-4</v>
          </cell>
        </row>
        <row r="162">
          <cell r="E162" t="str">
            <v>1,1-Dichloropropene</v>
          </cell>
          <cell r="F162" t="str">
            <v>563-58-6</v>
          </cell>
        </row>
        <row r="163">
          <cell r="E163" t="str">
            <v>Octadecanoic acid</v>
          </cell>
          <cell r="F163" t="str">
            <v>57-11-4</v>
          </cell>
        </row>
        <row r="164">
          <cell r="E164" t="str">
            <v>1,2,3,7,8-Pentachlorodibenzofuran</v>
          </cell>
          <cell r="F164" t="str">
            <v>57117-41-6</v>
          </cell>
        </row>
        <row r="165">
          <cell r="E165" t="str">
            <v>1,2,3,6,7,8-Hexachlorodibenzofuran</v>
          </cell>
          <cell r="F165" t="str">
            <v>57117-44-9</v>
          </cell>
        </row>
        <row r="166">
          <cell r="E166" t="str">
            <v>1,1-Dimethylhydrazine</v>
          </cell>
          <cell r="F166" t="str">
            <v>57-14-7</v>
          </cell>
        </row>
        <row r="167">
          <cell r="E167" t="str">
            <v>1,2,3,6,7,8-Hexachlorodibenzo-p-dioxin</v>
          </cell>
          <cell r="F167" t="str">
            <v>57653-85-7</v>
          </cell>
        </row>
        <row r="168">
          <cell r="E168" t="str">
            <v>1-Acetyl-2-thiourea</v>
          </cell>
          <cell r="F168" t="str">
            <v>591-08-2</v>
          </cell>
        </row>
        <row r="169">
          <cell r="E169" t="str">
            <v>Octadecane</v>
          </cell>
          <cell r="F169" t="str">
            <v>593-45-3</v>
          </cell>
        </row>
        <row r="170">
          <cell r="E170" t="str">
            <v>n-Nitrosomorpholine</v>
          </cell>
          <cell r="F170" t="str">
            <v>59-89-2</v>
          </cell>
        </row>
        <row r="171">
          <cell r="E171" t="str">
            <v>p-Dimethylaminoazobenzene</v>
          </cell>
          <cell r="F171" t="str">
            <v>60-11-7</v>
          </cell>
        </row>
        <row r="172">
          <cell r="E172" t="str">
            <v>Pentachlorobenzene</v>
          </cell>
          <cell r="F172" t="str">
            <v>608-93-5</v>
          </cell>
        </row>
        <row r="173">
          <cell r="E173" t="str">
            <v>Methylene Blue Active Substances</v>
          </cell>
          <cell r="F173" t="str">
            <v>61-73-4</v>
          </cell>
        </row>
        <row r="174">
          <cell r="E174" t="str">
            <v>n-Nitrosodi-n-propylamine</v>
          </cell>
          <cell r="F174" t="str">
            <v>621-64-7</v>
          </cell>
        </row>
        <row r="175">
          <cell r="E175" t="str">
            <v>Methyl disulfide</v>
          </cell>
          <cell r="F175" t="str">
            <v>624-92-0</v>
          </cell>
        </row>
        <row r="176">
          <cell r="E176" t="str">
            <v>Ethyl methanesulfonate</v>
          </cell>
          <cell r="F176" t="str">
            <v>62-50-0</v>
          </cell>
        </row>
        <row r="177">
          <cell r="E177" t="str">
            <v>n-Nitrosodimethylamine</v>
          </cell>
          <cell r="F177" t="str">
            <v>62-75-9</v>
          </cell>
        </row>
        <row r="178">
          <cell r="E178" t="str">
            <v>Tridecane</v>
          </cell>
          <cell r="F178" t="str">
            <v>629-50-5</v>
          </cell>
        </row>
        <row r="179">
          <cell r="E179" t="str">
            <v>C14 as n-Tetradecane</v>
          </cell>
          <cell r="F179" t="str">
            <v>629-59-4</v>
          </cell>
        </row>
        <row r="180">
          <cell r="E180" t="str">
            <v>Nonadecane</v>
          </cell>
          <cell r="F180" t="str">
            <v>629-92-5</v>
          </cell>
        </row>
        <row r="181">
          <cell r="E181" t="str">
            <v>Pentacosane</v>
          </cell>
          <cell r="F181" t="str">
            <v>629-99-2</v>
          </cell>
        </row>
        <row r="182">
          <cell r="E182" t="str">
            <v>Octacosane</v>
          </cell>
          <cell r="F182" t="str">
            <v>630-02-4</v>
          </cell>
        </row>
        <row r="183">
          <cell r="E183" t="str">
            <v>Nonacosane</v>
          </cell>
          <cell r="F183" t="str">
            <v>630-03-5</v>
          </cell>
        </row>
        <row r="184">
          <cell r="E184" t="str">
            <v>Tritriacontane</v>
          </cell>
          <cell r="F184" t="str">
            <v>630-05-7</v>
          </cell>
        </row>
        <row r="185">
          <cell r="E185" t="str">
            <v>Pentatriacontane</v>
          </cell>
          <cell r="F185" t="str">
            <v>630-07-9</v>
          </cell>
        </row>
        <row r="186">
          <cell r="E186" t="str">
            <v>1,1,1,2-Tetrachloroethane</v>
          </cell>
          <cell r="F186" t="str">
            <v>630-20-6</v>
          </cell>
        </row>
        <row r="187">
          <cell r="E187" t="str">
            <v>1,2,3,5-Tetrachlorobenzene</v>
          </cell>
          <cell r="F187" t="str">
            <v>634-90-2</v>
          </cell>
        </row>
        <row r="188">
          <cell r="E188" t="str">
            <v>Ethyl tert-butyl ether (ETBE)</v>
          </cell>
          <cell r="F188" t="str">
            <v>637-92-3</v>
          </cell>
        </row>
        <row r="189">
          <cell r="E189" t="str">
            <v>n-Triacontane</v>
          </cell>
          <cell r="F189" t="str">
            <v>638-68-6</v>
          </cell>
        </row>
        <row r="190">
          <cell r="E190" t="str">
            <v>Mineral Spirits</v>
          </cell>
          <cell r="F190" t="str">
            <v>64475-85-0</v>
          </cell>
        </row>
        <row r="191">
          <cell r="E191" t="str">
            <v>Isohexanoic Acid</v>
          </cell>
          <cell r="F191" t="str">
            <v>646-07-1</v>
          </cell>
        </row>
        <row r="192">
          <cell r="E192" t="str">
            <v>Methanol (MeOH)</v>
          </cell>
          <cell r="F192" t="str">
            <v>67-56-1</v>
          </cell>
        </row>
        <row r="193">
          <cell r="E193" t="str">
            <v>1,2,3,4,6,7,8-Heptachlorodibenzofuran</v>
          </cell>
          <cell r="F193" t="str">
            <v>67562-39-4</v>
          </cell>
        </row>
        <row r="194">
          <cell r="E194" t="str">
            <v>Fuel Oil No. 6 (BUNKER C)</v>
          </cell>
          <cell r="F194" t="str">
            <v>68553-00-4</v>
          </cell>
        </row>
        <row r="195">
          <cell r="E195" t="str">
            <v>Tributyltin</v>
          </cell>
          <cell r="F195" t="str">
            <v>688-73-3</v>
          </cell>
        </row>
        <row r="196">
          <cell r="E196" t="str">
            <v>Monocrotophos</v>
          </cell>
          <cell r="F196" t="str">
            <v>6923-22-4</v>
          </cell>
        </row>
        <row r="197">
          <cell r="E197" t="str">
            <v>1,2,3,4,7,8-Hexachlorodibenzofuran</v>
          </cell>
          <cell r="F197" t="str">
            <v>70648-26-9</v>
          </cell>
        </row>
        <row r="198">
          <cell r="E198" t="str">
            <v>1-Pentanol</v>
          </cell>
          <cell r="F198" t="str">
            <v>71-41-0</v>
          </cell>
        </row>
        <row r="199">
          <cell r="E199" t="str">
            <v>1,1,1-Trichloroethane</v>
          </cell>
          <cell r="F199" t="str">
            <v>71-55-6</v>
          </cell>
        </row>
        <row r="200">
          <cell r="E200" t="str">
            <v>Mestranol</v>
          </cell>
          <cell r="F200" t="str">
            <v>72-33-3</v>
          </cell>
        </row>
        <row r="201">
          <cell r="E201" t="str">
            <v>Methoxychlor</v>
          </cell>
          <cell r="F201" t="str">
            <v>72-43-5</v>
          </cell>
        </row>
        <row r="202">
          <cell r="E202" t="str">
            <v>Perthane</v>
          </cell>
          <cell r="F202" t="str">
            <v>72-56-0</v>
          </cell>
        </row>
        <row r="203">
          <cell r="E203" t="str">
            <v>1,2,3,7,8,9-Hexachlorodibenzofuran</v>
          </cell>
          <cell r="F203" t="str">
            <v>72918-21-9</v>
          </cell>
        </row>
        <row r="204">
          <cell r="E204" t="str">
            <v>Iron</v>
          </cell>
          <cell r="F204" t="str">
            <v>7439-89-6</v>
          </cell>
        </row>
        <row r="205">
          <cell r="E205" t="str">
            <v>Lead</v>
          </cell>
          <cell r="F205" t="str">
            <v>7439-92-1</v>
          </cell>
        </row>
        <row r="206">
          <cell r="E206" t="str">
            <v>Lithium</v>
          </cell>
          <cell r="F206" t="str">
            <v>7439-93-2</v>
          </cell>
        </row>
        <row r="207">
          <cell r="E207" t="str">
            <v>Magnesium</v>
          </cell>
          <cell r="F207" t="str">
            <v>7439-95-4</v>
          </cell>
        </row>
        <row r="208">
          <cell r="E208" t="str">
            <v>Manganese</v>
          </cell>
          <cell r="F208" t="str">
            <v>7439-96-5</v>
          </cell>
        </row>
        <row r="209">
          <cell r="E209" t="str">
            <v>Mercury</v>
          </cell>
          <cell r="F209" t="str">
            <v>7439-97-6</v>
          </cell>
        </row>
        <row r="210">
          <cell r="E210" t="str">
            <v>Molybdenum</v>
          </cell>
          <cell r="F210" t="str">
            <v>7439-98-7</v>
          </cell>
        </row>
        <row r="211">
          <cell r="E211" t="str">
            <v>Nickel</v>
          </cell>
          <cell r="F211" t="str">
            <v>7440-02-0</v>
          </cell>
        </row>
        <row r="212">
          <cell r="E212" t="str">
            <v>Titanium</v>
          </cell>
          <cell r="F212" t="str">
            <v>7440-32-6</v>
          </cell>
        </row>
        <row r="213">
          <cell r="E213" t="str">
            <v>Uranium-238</v>
          </cell>
          <cell r="F213" t="str">
            <v>7440-61-1</v>
          </cell>
        </row>
        <row r="214">
          <cell r="E214" t="str">
            <v>Vanadium</v>
          </cell>
          <cell r="F214" t="str">
            <v>7440-62-2</v>
          </cell>
        </row>
        <row r="215">
          <cell r="E215" t="str">
            <v>Yttrium</v>
          </cell>
          <cell r="F215" t="str">
            <v>7440-65-5</v>
          </cell>
        </row>
        <row r="216">
          <cell r="E216" t="str">
            <v>Zinc</v>
          </cell>
          <cell r="F216" t="str">
            <v>7440-66-6</v>
          </cell>
        </row>
        <row r="217">
          <cell r="E217" t="str">
            <v>Zirconium</v>
          </cell>
          <cell r="F217" t="str">
            <v>7440-67-7</v>
          </cell>
        </row>
        <row r="218">
          <cell r="E218" t="str">
            <v>Methane</v>
          </cell>
          <cell r="F218" t="str">
            <v>74-82-8</v>
          </cell>
        </row>
        <row r="219">
          <cell r="E219" t="str">
            <v>Methyl mercaptan</v>
          </cell>
          <cell r="F219" t="str">
            <v>74-93-1</v>
          </cell>
        </row>
        <row r="220">
          <cell r="E220" t="str">
            <v>Vinyl chloride</v>
          </cell>
          <cell r="F220" t="str">
            <v>75-01-4</v>
          </cell>
        </row>
        <row r="221">
          <cell r="E221" t="str">
            <v>Monoethylamine</v>
          </cell>
          <cell r="F221" t="str">
            <v>75-04-7</v>
          </cell>
        </row>
        <row r="222">
          <cell r="E222" t="str">
            <v>Ethyl mercaptan</v>
          </cell>
          <cell r="F222" t="str">
            <v>75-08-1</v>
          </cell>
        </row>
        <row r="223">
          <cell r="E223" t="str">
            <v>Methylene chloride</v>
          </cell>
          <cell r="F223" t="str">
            <v>75-09-2</v>
          </cell>
        </row>
        <row r="224">
          <cell r="E224" t="str">
            <v>Ethylene oxide</v>
          </cell>
          <cell r="F224" t="str">
            <v>75-21-8</v>
          </cell>
        </row>
        <row r="225">
          <cell r="E225" t="str">
            <v>Isobutane</v>
          </cell>
          <cell r="F225" t="str">
            <v>75-28-5</v>
          </cell>
        </row>
        <row r="226">
          <cell r="E226" t="str">
            <v>1,1-Dichloroethane</v>
          </cell>
          <cell r="F226" t="str">
            <v>75-34-3</v>
          </cell>
        </row>
        <row r="227">
          <cell r="E227" t="str">
            <v>1,1-Dichloroethene</v>
          </cell>
          <cell r="F227" t="str">
            <v>75-35-4</v>
          </cell>
        </row>
        <row r="228">
          <cell r="E228" t="str">
            <v>1,1-Difluoroethane</v>
          </cell>
          <cell r="F228" t="str">
            <v>75-37-6</v>
          </cell>
        </row>
        <row r="229">
          <cell r="E229" t="str">
            <v>Trimethylamine</v>
          </cell>
          <cell r="F229" t="str">
            <v>75-50-3</v>
          </cell>
        </row>
        <row r="230">
          <cell r="E230" t="str">
            <v>Trichlorofluoromethane</v>
          </cell>
          <cell r="F230" t="str">
            <v>75-69-4</v>
          </cell>
        </row>
        <row r="231">
          <cell r="E231" t="str">
            <v>Pentachloroethane</v>
          </cell>
          <cell r="F231" t="str">
            <v>76-01-7</v>
          </cell>
        </row>
        <row r="232">
          <cell r="E232" t="str">
            <v>1,1,2-Trichloro-1,2,2-trifluoroethane</v>
          </cell>
          <cell r="F232" t="str">
            <v>76-13-1</v>
          </cell>
        </row>
        <row r="233">
          <cell r="E233" t="str">
            <v>1,2-Dichloro-1,1,2,2-tetrafluoroethane</v>
          </cell>
          <cell r="F233" t="str">
            <v>76-14-2</v>
          </cell>
        </row>
        <row r="234">
          <cell r="E234" t="str">
            <v>1,4-Dichloro-2-butene, Total</v>
          </cell>
          <cell r="F234" t="str">
            <v>764-41-0</v>
          </cell>
        </row>
        <row r="235">
          <cell r="E235" t="str">
            <v>Hydrochloric Acid (Hydrogen Chloride)</v>
          </cell>
          <cell r="F235" t="str">
            <v>7647-01-0</v>
          </cell>
        </row>
        <row r="236">
          <cell r="E236" t="str">
            <v>Hydrofluoric acid</v>
          </cell>
          <cell r="F236" t="str">
            <v>7664-39-3</v>
          </cell>
        </row>
        <row r="237">
          <cell r="E237" t="str">
            <v>Nitric Acid</v>
          </cell>
          <cell r="F237" t="str">
            <v>7697-37-2</v>
          </cell>
        </row>
        <row r="238">
          <cell r="E238" t="str">
            <v>Phosphorus, Total (as P)</v>
          </cell>
          <cell r="F238" t="str">
            <v>7723-14-0</v>
          </cell>
        </row>
        <row r="239">
          <cell r="E239" t="str">
            <v>Nitrogen</v>
          </cell>
          <cell r="F239" t="str">
            <v>7727-37-9</v>
          </cell>
        </row>
        <row r="240">
          <cell r="E240" t="str">
            <v>Oxygen</v>
          </cell>
          <cell r="F240" t="str">
            <v>7782-44-7</v>
          </cell>
        </row>
        <row r="241">
          <cell r="E241" t="str">
            <v>Mevinphos</v>
          </cell>
          <cell r="F241" t="str">
            <v>7786-34-7</v>
          </cell>
        </row>
        <row r="242">
          <cell r="E242" t="str">
            <v>Isophorone</v>
          </cell>
          <cell r="F242" t="str">
            <v>78-59-1</v>
          </cell>
        </row>
        <row r="243">
          <cell r="E243" t="str">
            <v>1,2-Dibromopropane</v>
          </cell>
          <cell r="F243" t="str">
            <v>78-75-1</v>
          </cell>
        </row>
        <row r="244">
          <cell r="E244" t="str">
            <v>Isobutanol</v>
          </cell>
          <cell r="F244" t="str">
            <v>78-83-1</v>
          </cell>
        </row>
        <row r="245">
          <cell r="E245" t="str">
            <v>1,2-Dichloropropane</v>
          </cell>
          <cell r="F245" t="str">
            <v>78-87-5</v>
          </cell>
        </row>
        <row r="246">
          <cell r="E246" t="str">
            <v>1,1,2-Trichloroethane</v>
          </cell>
          <cell r="F246" t="str">
            <v>79-00-5</v>
          </cell>
        </row>
        <row r="247">
          <cell r="E247" t="str">
            <v>Trichloroethene (TCE)</v>
          </cell>
          <cell r="F247" t="str">
            <v>79-01-6</v>
          </cell>
        </row>
        <row r="248">
          <cell r="E248" t="str">
            <v>1,1,2,2-Tetrachloroethane</v>
          </cell>
          <cell r="F248" t="str">
            <v>79-34-5</v>
          </cell>
        </row>
        <row r="249">
          <cell r="E249" t="str">
            <v>Toxaphene</v>
          </cell>
          <cell r="F249" t="str">
            <v>8001-35-2</v>
          </cell>
        </row>
        <row r="250">
          <cell r="E250" t="str">
            <v>Total Petroleum Hydrocarbons (TPH) as JP-5</v>
          </cell>
          <cell r="F250" t="str">
            <v>8008-20-6</v>
          </cell>
        </row>
        <row r="251">
          <cell r="E251" t="str">
            <v>Naphtha distillate</v>
          </cell>
          <cell r="F251" t="str">
            <v>8030-30-6</v>
          </cell>
        </row>
        <row r="252">
          <cell r="E252" t="str">
            <v>alpha-Pinene</v>
          </cell>
          <cell r="F252" t="str">
            <v>80-56-8</v>
          </cell>
        </row>
        <row r="253">
          <cell r="E253" t="str">
            <v>Methylmethacrylate</v>
          </cell>
          <cell r="F253" t="str">
            <v>80-62-6</v>
          </cell>
        </row>
        <row r="254">
          <cell r="E254" t="str">
            <v>Pentachloronitrobenzene</v>
          </cell>
          <cell r="F254" t="str">
            <v>82-68-8</v>
          </cell>
        </row>
        <row r="255">
          <cell r="E255" t="str">
            <v>1-Methylphenanthrene</v>
          </cell>
          <cell r="F255" t="str">
            <v>832-69-9</v>
          </cell>
        </row>
        <row r="256">
          <cell r="E256" t="str">
            <v>o-Terphenyl</v>
          </cell>
          <cell r="F256" t="str">
            <v>84-15-1</v>
          </cell>
        </row>
        <row r="257">
          <cell r="E257" t="str">
            <v>Phthalic anhydride</v>
          </cell>
          <cell r="F257" t="str">
            <v>85-44-9</v>
          </cell>
        </row>
        <row r="258">
          <cell r="E258" t="str">
            <v>n-Nitrosodiphenylamine</v>
          </cell>
          <cell r="F258" t="str">
            <v>86-30-6</v>
          </cell>
        </row>
        <row r="259">
          <cell r="E259" t="str">
            <v>1,2,3-Trichlorobenzene</v>
          </cell>
          <cell r="F259" t="str">
            <v>87-61-6</v>
          </cell>
        </row>
        <row r="260">
          <cell r="E260" t="str">
            <v>Pentachlorophenol</v>
          </cell>
          <cell r="F260" t="str">
            <v>87-86-5</v>
          </cell>
        </row>
        <row r="261">
          <cell r="E261" t="str">
            <v>Picric Acid</v>
          </cell>
          <cell r="F261" t="str">
            <v>88-89-1</v>
          </cell>
        </row>
        <row r="262">
          <cell r="E262" t="str">
            <v>o-Anisidine</v>
          </cell>
          <cell r="F262" t="str">
            <v>90-04-0</v>
          </cell>
        </row>
        <row r="263">
          <cell r="E263" t="str">
            <v>1-Methylnaphthalene</v>
          </cell>
          <cell r="F263" t="str">
            <v>90-12-0</v>
          </cell>
        </row>
        <row r="264">
          <cell r="E264" t="str">
            <v>1-Chloronaphthalene</v>
          </cell>
          <cell r="F264" t="str">
            <v>90-13-1</v>
          </cell>
        </row>
        <row r="265">
          <cell r="E265" t="str">
            <v>Naphthalene</v>
          </cell>
          <cell r="F265" t="str">
            <v>91-20-3</v>
          </cell>
        </row>
        <row r="266">
          <cell r="E266" t="str">
            <v>Methapyrilene</v>
          </cell>
          <cell r="F266" t="str">
            <v>91-80-5</v>
          </cell>
        </row>
        <row r="267">
          <cell r="E267" t="str">
            <v>m-Terphenyl</v>
          </cell>
          <cell r="F267" t="str">
            <v>92-06-8</v>
          </cell>
        </row>
        <row r="268">
          <cell r="E268" t="str">
            <v>n-Nitroso-di-n-butylamine</v>
          </cell>
          <cell r="F268" t="str">
            <v>924-16-3</v>
          </cell>
        </row>
        <row r="269">
          <cell r="E269" t="str">
            <v>n-Nitrosopyrrolidine</v>
          </cell>
          <cell r="F269" t="str">
            <v>930-55-2</v>
          </cell>
        </row>
        <row r="270">
          <cell r="E270" t="str">
            <v>MCPP (2-(2-methyl-4-chlorophenoxy) propanoic acid)</v>
          </cell>
          <cell r="F270" t="str">
            <v>93-65-2</v>
          </cell>
        </row>
        <row r="271">
          <cell r="E271" t="str">
            <v>Jet Fuel</v>
          </cell>
          <cell r="F271" t="str">
            <v>94114-58-6</v>
          </cell>
        </row>
        <row r="272">
          <cell r="E272" t="str">
            <v>MCPA (2-Methyl-4-chlorophenoxy acetic acid)</v>
          </cell>
          <cell r="F272" t="str">
            <v>94-74-6</v>
          </cell>
        </row>
        <row r="273">
          <cell r="E273" t="str">
            <v>Indene</v>
          </cell>
          <cell r="F273" t="str">
            <v>95-13-6</v>
          </cell>
        </row>
        <row r="274">
          <cell r="E274" t="str">
            <v>o-Xylene</v>
          </cell>
          <cell r="F274" t="str">
            <v>95-47-6</v>
          </cell>
        </row>
        <row r="275">
          <cell r="E275" t="str">
            <v>1,2-Dichlorobenzene</v>
          </cell>
          <cell r="F275" t="str">
            <v>95-50-1</v>
          </cell>
        </row>
        <row r="276">
          <cell r="E276" t="str">
            <v>2-Chloroaniline</v>
          </cell>
          <cell r="F276" t="str">
            <v>95-51-2</v>
          </cell>
        </row>
        <row r="277">
          <cell r="E277" t="str">
            <v>o-Toluidine</v>
          </cell>
          <cell r="F277" t="str">
            <v>95-53-4</v>
          </cell>
        </row>
        <row r="278">
          <cell r="E278" t="str">
            <v>1,2,4-Trimethylbenzene</v>
          </cell>
          <cell r="F278" t="str">
            <v>95-63-6</v>
          </cell>
        </row>
        <row r="279">
          <cell r="E279" t="str">
            <v>1,2,4,5-Tetramethylbenzene</v>
          </cell>
          <cell r="F279" t="str">
            <v>95-93-2</v>
          </cell>
        </row>
        <row r="280">
          <cell r="E280" t="str">
            <v>1,2,4,5-Tetrachlorobenzene</v>
          </cell>
          <cell r="F280" t="str">
            <v>95-94-3</v>
          </cell>
        </row>
        <row r="281">
          <cell r="E281" t="str">
            <v>1,2-Dibromo-3-chloropropane</v>
          </cell>
          <cell r="F281" t="str">
            <v>96-12-8</v>
          </cell>
        </row>
        <row r="282">
          <cell r="E282" t="str">
            <v>1,2,3-Trichloropropane</v>
          </cell>
          <cell r="F282" t="str">
            <v>96-18-4</v>
          </cell>
        </row>
        <row r="283">
          <cell r="E283" t="str">
            <v>1,2,3-Trichloropropene</v>
          </cell>
          <cell r="F283" t="str">
            <v>96-19-5</v>
          </cell>
        </row>
        <row r="284">
          <cell r="E284" t="str">
            <v>1,3-Dichloro-2-propanol</v>
          </cell>
          <cell r="F284" t="str">
            <v>96-23-1</v>
          </cell>
        </row>
        <row r="285">
          <cell r="E285" t="str">
            <v>Methyl acrylate</v>
          </cell>
          <cell r="F285" t="str">
            <v>96-33-3</v>
          </cell>
        </row>
        <row r="286">
          <cell r="E286" t="str">
            <v>Ethylene thiourea (ETU)</v>
          </cell>
          <cell r="F286" t="str">
            <v>96-45-7</v>
          </cell>
        </row>
        <row r="287">
          <cell r="E287" t="str">
            <v>Ethyl methacrylate</v>
          </cell>
          <cell r="F287" t="str">
            <v>97-63-2</v>
          </cell>
        </row>
        <row r="288">
          <cell r="E288" t="str">
            <v>Trifluorotoluene</v>
          </cell>
          <cell r="F288" t="str">
            <v>98-08-8</v>
          </cell>
        </row>
        <row r="289">
          <cell r="E289" t="str">
            <v>Isopropylbenzene</v>
          </cell>
          <cell r="F289" t="str">
            <v>98-82-8</v>
          </cell>
        </row>
        <row r="290">
          <cell r="E290" t="str">
            <v>Nitrobenzene</v>
          </cell>
          <cell r="F290" t="str">
            <v>98-95-3</v>
          </cell>
        </row>
        <row r="291">
          <cell r="E291" t="str">
            <v>1,3,5-Trinitrobenzene</v>
          </cell>
          <cell r="F291" t="str">
            <v>99-35-4</v>
          </cell>
        </row>
        <row r="292">
          <cell r="E292" t="str">
            <v>1,3-Dinitrobenzene</v>
          </cell>
          <cell r="F292" t="str">
            <v>99-65-0</v>
          </cell>
        </row>
        <row r="293">
          <cell r="E293" t="str">
            <v>C10-C12 Aliphatics</v>
          </cell>
          <cell r="F293" t="str">
            <v>AL_C10C12</v>
          </cell>
        </row>
        <row r="294">
          <cell r="E294" t="str">
            <v>C10-C24 Aliphatics</v>
          </cell>
          <cell r="F294" t="str">
            <v>AL_C10C24</v>
          </cell>
        </row>
        <row r="295">
          <cell r="E295" t="str">
            <v>C10-C25 Aliphatics</v>
          </cell>
          <cell r="F295" t="str">
            <v>AL_C10C25</v>
          </cell>
        </row>
        <row r="296">
          <cell r="E296" t="str">
            <v>C16-C21 Aliphatics</v>
          </cell>
          <cell r="F296" t="str">
            <v>AL_C16C21</v>
          </cell>
        </row>
        <row r="297">
          <cell r="E297" t="str">
            <v>C21-C34 Aliphatics</v>
          </cell>
          <cell r="F297" t="str">
            <v>AL_C21C34</v>
          </cell>
        </row>
        <row r="298">
          <cell r="E298" t="str">
            <v>C5-C6 Aliphatics</v>
          </cell>
          <cell r="F298" t="str">
            <v>AL_C5C6</v>
          </cell>
        </row>
        <row r="299">
          <cell r="E299" t="str">
            <v>C5-C8 Aliphatics (Adjusted baseline)</v>
          </cell>
          <cell r="F299" t="str">
            <v>AL_C5C8</v>
          </cell>
        </row>
        <row r="300">
          <cell r="E300" t="str">
            <v>C6-C10 Aliphatics</v>
          </cell>
          <cell r="F300" t="str">
            <v>AL_C6C10</v>
          </cell>
        </row>
        <row r="301">
          <cell r="E301" t="str">
            <v>C6-C8 Aliphatics</v>
          </cell>
          <cell r="F301" t="str">
            <v>AL_C6C8</v>
          </cell>
        </row>
        <row r="302">
          <cell r="E302" t="str">
            <v>C8-C10 Aliphatics</v>
          </cell>
          <cell r="F302" t="str">
            <v>AL_C8C10</v>
          </cell>
        </row>
        <row r="303">
          <cell r="E303" t="str">
            <v>C10-C12 Aromatics</v>
          </cell>
          <cell r="F303" t="str">
            <v>AR_C10C12</v>
          </cell>
        </row>
        <row r="304">
          <cell r="E304" t="str">
            <v>C10-C24 Aromatics</v>
          </cell>
          <cell r="F304" t="str">
            <v>AR_C10C24</v>
          </cell>
        </row>
        <row r="305">
          <cell r="E305" t="str">
            <v>C10-C25 Aromatics</v>
          </cell>
          <cell r="F305" t="str">
            <v>AR_C10C25</v>
          </cell>
        </row>
        <row r="306">
          <cell r="E306" t="str">
            <v>C12-C13 Aromatics</v>
          </cell>
          <cell r="F306" t="str">
            <v>AR_C12C13</v>
          </cell>
        </row>
        <row r="307">
          <cell r="E307" t="str">
            <v>C12-C16 Aromatics</v>
          </cell>
          <cell r="F307" t="str">
            <v>AR_C12C16</v>
          </cell>
        </row>
        <row r="308">
          <cell r="E308" t="str">
            <v>C16-C21 Aromatics</v>
          </cell>
          <cell r="F308" t="str">
            <v>AR_C16C21</v>
          </cell>
        </row>
        <row r="309">
          <cell r="E309" t="str">
            <v>C21-C34 Aromatics</v>
          </cell>
          <cell r="F309" t="str">
            <v>AR_C21C34</v>
          </cell>
        </row>
        <row r="310">
          <cell r="E310" t="str">
            <v>C25-C36 Aromatics</v>
          </cell>
          <cell r="F310" t="str">
            <v>AR_C25C36</v>
          </cell>
        </row>
        <row r="311">
          <cell r="E311" t="str">
            <v>C6-C10 Aromatics</v>
          </cell>
          <cell r="F311" t="str">
            <v>AR_C6C10</v>
          </cell>
        </row>
        <row r="312">
          <cell r="E312" t="str">
            <v>C8-C10 Aromatics</v>
          </cell>
          <cell r="F312" t="str">
            <v>AR_C8C10</v>
          </cell>
        </row>
        <row r="313">
          <cell r="E313" t="str">
            <v>C9-C10 Aromatics</v>
          </cell>
          <cell r="F313" t="str">
            <v>AR_C9C10</v>
          </cell>
        </row>
        <row r="314">
          <cell r="E314" t="str">
            <v>Conductivity</v>
          </cell>
          <cell r="F314" t="str">
            <v>HC</v>
          </cell>
        </row>
        <row r="315">
          <cell r="E315" t="str">
            <v>Ignitability</v>
          </cell>
          <cell r="F315" t="str">
            <v>IGNITE</v>
          </cell>
        </row>
        <row r="316">
          <cell r="E316" t="str">
            <v>Percent Moisture</v>
          </cell>
          <cell r="F316" t="str">
            <v>MC</v>
          </cell>
        </row>
        <row r="317">
          <cell r="E317" t="str">
            <v>Xylene, Isomers m &amp; p</v>
          </cell>
          <cell r="F317" t="str">
            <v>MP-XYL</v>
          </cell>
        </row>
        <row r="318">
          <cell r="E318" t="str">
            <v>Nitrogen, Nitrate (as N)</v>
          </cell>
          <cell r="F318" t="str">
            <v>NITRATE-N</v>
          </cell>
        </row>
        <row r="319">
          <cell r="E319" t="str">
            <v>Nitrogen, Nitrite</v>
          </cell>
          <cell r="F319" t="str">
            <v>NITRITE-N</v>
          </cell>
        </row>
        <row r="320">
          <cell r="E320" t="str">
            <v>Nitrogen, Nitrate-Nitrite</v>
          </cell>
          <cell r="F320" t="str">
            <v>NO3NO2N</v>
          </cell>
        </row>
        <row r="321">
          <cell r="E321" t="str">
            <v>Oil and Grease</v>
          </cell>
          <cell r="F321" t="str">
            <v>O&amp;G</v>
          </cell>
        </row>
        <row r="322">
          <cell r="E322" t="str">
            <v>Organic Lead</v>
          </cell>
          <cell r="F322" t="str">
            <v>ORG PB</v>
          </cell>
        </row>
        <row r="323">
          <cell r="E323" t="str">
            <v>Oxidation-Reduction Potential</v>
          </cell>
          <cell r="F323" t="str">
            <v>ORP</v>
          </cell>
        </row>
        <row r="324">
          <cell r="E324" t="str">
            <v>Total Lipids</v>
          </cell>
          <cell r="F324" t="str">
            <v>PERCENT LIPIDS</v>
          </cell>
        </row>
        <row r="325">
          <cell r="E325" t="str">
            <v>Solids, Percent</v>
          </cell>
          <cell r="F325" t="str">
            <v>PERCENT SOLIDS</v>
          </cell>
        </row>
        <row r="326">
          <cell r="E326" t="str">
            <v>pH</v>
          </cell>
          <cell r="F326" t="str">
            <v>pH</v>
          </cell>
        </row>
        <row r="327">
          <cell r="E327" t="str">
            <v>Total Petroleum Hydrocarbons (TPH) (C10-C28)</v>
          </cell>
          <cell r="F327" t="str">
            <v>PHCC10C28</v>
          </cell>
        </row>
        <row r="328">
          <cell r="E328" t="str">
            <v>Total Petroleum Hydrocarbons (TPH) (C11-C12)</v>
          </cell>
          <cell r="F328" t="str">
            <v>PHCC11C12</v>
          </cell>
        </row>
        <row r="329">
          <cell r="E329" t="str">
            <v>Total Petroleum Hydrocarbons (TPH) (C13-C14)</v>
          </cell>
          <cell r="F329" t="str">
            <v>PHCC13C14</v>
          </cell>
        </row>
        <row r="330">
          <cell r="E330" t="str">
            <v>Total Petroleum Hydrocarbons (TPH) (C15-C16)</v>
          </cell>
          <cell r="F330" t="str">
            <v>PHCC15C16</v>
          </cell>
        </row>
        <row r="331">
          <cell r="E331" t="str">
            <v>Total Petroleum Hydrocarbons (TPH) (C17-C18)</v>
          </cell>
          <cell r="F331" t="str">
            <v>PHCC17C18</v>
          </cell>
        </row>
        <row r="332">
          <cell r="E332" t="str">
            <v>Total Petroleum Hydrocarbons (TPH) (C19-C20)</v>
          </cell>
          <cell r="F332" t="str">
            <v>PHCC19C20</v>
          </cell>
        </row>
        <row r="333">
          <cell r="E333" t="str">
            <v>Total Petroleum Hydrocarbons (TPH) (C21-C22)</v>
          </cell>
          <cell r="F333" t="str">
            <v>PHCC21C22</v>
          </cell>
        </row>
        <row r="334">
          <cell r="E334" t="str">
            <v>Total Petroleum Hydrocarbons (TPH) (C23-C24)</v>
          </cell>
          <cell r="F334" t="str">
            <v>PHCC23C24</v>
          </cell>
        </row>
        <row r="335">
          <cell r="E335" t="str">
            <v>Total Petroleum Hydrocarbons (TPH) (C25-C28)</v>
          </cell>
          <cell r="F335" t="str">
            <v>PHCC25C28</v>
          </cell>
        </row>
        <row r="336">
          <cell r="E336" t="str">
            <v>Total Petroleum Hydrocarbons (TPH) (C28-C40)</v>
          </cell>
          <cell r="F336" t="str">
            <v>PHCC28C40</v>
          </cell>
        </row>
        <row r="337">
          <cell r="E337" t="str">
            <v>Total Petroleum Hydrocarbons (TPH) (C29-C32)</v>
          </cell>
          <cell r="F337" t="str">
            <v>PHCC29C32</v>
          </cell>
        </row>
        <row r="338">
          <cell r="E338" t="str">
            <v>Total Petroleum Hydrocarbons (TPH) (C33-C36)</v>
          </cell>
          <cell r="F338" t="str">
            <v>PHCC33C36</v>
          </cell>
        </row>
        <row r="339">
          <cell r="E339" t="str">
            <v>Total Petroleum Hydrocarbons (TPH) (C37-C40)</v>
          </cell>
          <cell r="F339" t="str">
            <v>PHCC37C40</v>
          </cell>
        </row>
        <row r="340">
          <cell r="E340" t="str">
            <v>Total Petroleum Hydrocarbons (TPH) (C41-C44)</v>
          </cell>
          <cell r="F340" t="str">
            <v>PHCC41C44</v>
          </cell>
        </row>
        <row r="341">
          <cell r="E341" t="str">
            <v>Total Petroleum Hydrocarbons (TPH) (C6)</v>
          </cell>
          <cell r="F341" t="str">
            <v>PHCC6</v>
          </cell>
        </row>
        <row r="342">
          <cell r="E342" t="str">
            <v>Total Petroleum Hydrocarbons (TPH) (C6-C10)</v>
          </cell>
          <cell r="F342" t="str">
            <v>PHCC6C10</v>
          </cell>
        </row>
        <row r="343">
          <cell r="E343" t="str">
            <v>Total Petroleum Hydrocarbons (TPH) (C6-C40)</v>
          </cell>
          <cell r="F343" t="str">
            <v>PHCC6C40</v>
          </cell>
        </row>
        <row r="344">
          <cell r="E344" t="str">
            <v>Total Petroleum Hydrocarbons (TPH) (C6-C44)</v>
          </cell>
          <cell r="F344" t="str">
            <v>PHCC6C44</v>
          </cell>
        </row>
        <row r="345">
          <cell r="E345" t="str">
            <v>Total Petroleum Hydrocarbons (TPH) (C7)</v>
          </cell>
          <cell r="F345" t="str">
            <v>PHCC7</v>
          </cell>
        </row>
        <row r="346">
          <cell r="E346" t="str">
            <v>Total Petroleum Hydrocarbons (TPH) (C8)</v>
          </cell>
          <cell r="F346" t="str">
            <v>PHCC8</v>
          </cell>
        </row>
        <row r="347">
          <cell r="E347" t="str">
            <v>Total Petroleum Hydrocarbons (TPH) (C9-C10)</v>
          </cell>
          <cell r="F347" t="str">
            <v>PHCC9C10</v>
          </cell>
        </row>
        <row r="348">
          <cell r="E348" t="str">
            <v>Total Petroleum Hydrocarbons (TPH) as Diesel Fuel (TPHD)</v>
          </cell>
          <cell r="F348" t="str">
            <v>PHCD</v>
          </cell>
        </row>
        <row r="349">
          <cell r="E349" t="str">
            <v>Total Petroleum Hydrocarbons (TPH) as Gasoline (TPHG)</v>
          </cell>
          <cell r="F349" t="str">
            <v>PHCG</v>
          </cell>
        </row>
        <row r="350">
          <cell r="E350" t="str">
            <v>Total Petroleum Hydrocarbons (TPH) as Motor Oil</v>
          </cell>
          <cell r="F350" t="str">
            <v>PHCMO</v>
          </cell>
        </row>
        <row r="351">
          <cell r="E351" t="str">
            <v>Coliform, Total</v>
          </cell>
          <cell r="F351" t="str">
            <v>TCOLI</v>
          </cell>
        </row>
        <row r="352">
          <cell r="E352" t="str">
            <v>Total Dissolved Solids</v>
          </cell>
          <cell r="F352" t="str">
            <v>TDS</v>
          </cell>
        </row>
        <row r="353">
          <cell r="E353" t="str">
            <v>Total Trihalomethanes</v>
          </cell>
          <cell r="F353" t="str">
            <v>THM</v>
          </cell>
        </row>
        <row r="354">
          <cell r="E354" t="str">
            <v>Nitrogen, Kjeldahl, Total</v>
          </cell>
          <cell r="F354" t="str">
            <v>TKN</v>
          </cell>
        </row>
        <row r="355">
          <cell r="E355" t="str">
            <v>Total Organic Carbon  (TOC)</v>
          </cell>
          <cell r="F355" t="str">
            <v>TOC</v>
          </cell>
        </row>
        <row r="356">
          <cell r="E356" t="str">
            <v>Benzene, Toluene, Ethylbenzene, and Xylenes</v>
          </cell>
          <cell r="F356" t="str">
            <v>TOTBTEX</v>
          </cell>
        </row>
        <row r="357">
          <cell r="E357" t="str">
            <v>Total Polychlorinatedbiphenyls</v>
          </cell>
          <cell r="F357" t="str">
            <v>TOTPCB</v>
          </cell>
        </row>
        <row r="358">
          <cell r="E358" t="str">
            <v>Total Organic Halides (TOX)</v>
          </cell>
          <cell r="F358" t="str">
            <v>TOX</v>
          </cell>
        </row>
        <row r="359">
          <cell r="E359" t="str">
            <v>Total Petroleum Hydrocarbons (TPH) as Aviation Gas</v>
          </cell>
          <cell r="F359" t="str">
            <v>TPH-AVG</v>
          </cell>
        </row>
        <row r="360">
          <cell r="E360" t="str">
            <v>Diesel Range Organics (C12-C24)</v>
          </cell>
          <cell r="F360" t="str">
            <v>TPH-DRO</v>
          </cell>
        </row>
        <row r="361">
          <cell r="E361" t="str">
            <v>Diesel Range Organics, Aliphatic</v>
          </cell>
          <cell r="F361" t="str">
            <v>TPH-DRO AL</v>
          </cell>
        </row>
        <row r="362">
          <cell r="E362" t="str">
            <v>Diesel Range Organics, Aromatic</v>
          </cell>
          <cell r="F362" t="str">
            <v>TPH-DRO AR</v>
          </cell>
        </row>
        <row r="363">
          <cell r="E363" t="str">
            <v>Total Petroleum Hydrocarbons (TPH) as Fuel Oil</v>
          </cell>
          <cell r="F363" t="str">
            <v>TPH-FUEL</v>
          </cell>
        </row>
        <row r="364">
          <cell r="E364" t="str">
            <v>Gasoline and Light Range Organics (C4-C12)</v>
          </cell>
          <cell r="F364" t="str">
            <v>TPH-GRO</v>
          </cell>
        </row>
        <row r="365">
          <cell r="E365" t="str">
            <v>Gasoline Range Organics, Aliphatic</v>
          </cell>
          <cell r="F365" t="str">
            <v>TPH-GRO AL</v>
          </cell>
        </row>
        <row r="366">
          <cell r="E366" t="str">
            <v>Gasoline Range Organics, Aromatic</v>
          </cell>
          <cell r="F366" t="str">
            <v>TPH-GRO AR</v>
          </cell>
        </row>
        <row r="367">
          <cell r="E367" t="str">
            <v>Total Petroleum Hydrocarbons (TPH) as Kerosene</v>
          </cell>
          <cell r="F367" t="str">
            <v>TPH-KERO</v>
          </cell>
        </row>
        <row r="368">
          <cell r="E368" t="str">
            <v>Total Petroleum Hydrocarbons (TPH) as Lube Oil</v>
          </cell>
          <cell r="F368" t="str">
            <v>TPH-LUBE</v>
          </cell>
        </row>
        <row r="369">
          <cell r="E369" t="str">
            <v>Total Petroleum Hydrocarbons (TPH) as Mineral Oil</v>
          </cell>
          <cell r="F369" t="str">
            <v>TPH-MIN</v>
          </cell>
        </row>
        <row r="370">
          <cell r="E370" t="str">
            <v>Total Petroleum Hydrocarbons (TPH) as Stoddard Solvent</v>
          </cell>
          <cell r="F370" t="str">
            <v>TPH-STOD</v>
          </cell>
        </row>
        <row r="371">
          <cell r="E371" t="str">
            <v>Total Volatile Petroleum Hydrocarbons (TVPH)</v>
          </cell>
          <cell r="F371" t="str">
            <v>TPH-VOL</v>
          </cell>
        </row>
        <row r="372">
          <cell r="E372" t="str">
            <v>Petroleum Hydrocarbons, Total Recoverable</v>
          </cell>
          <cell r="F372" t="str">
            <v>TRPH</v>
          </cell>
        </row>
        <row r="373">
          <cell r="E373" t="str">
            <v>Total Solids</v>
          </cell>
          <cell r="F373" t="str">
            <v>TSOLIDS</v>
          </cell>
        </row>
        <row r="374">
          <cell r="E374" t="str">
            <v>Total Suspended Solids</v>
          </cell>
          <cell r="F374" t="str">
            <v>TSS</v>
          </cell>
        </row>
        <row r="375">
          <cell r="E375" t="str">
            <v>Turbidity</v>
          </cell>
          <cell r="F375" t="str">
            <v>TURB</v>
          </cell>
        </row>
        <row r="376">
          <cell r="E376" t="str">
            <v>1,2-Propylene glycol dinitrate</v>
          </cell>
          <cell r="F376" t="str">
            <v>6423-43-4</v>
          </cell>
        </row>
        <row r="377">
          <cell r="E377" t="str">
            <v>2,2-Dichloro-1,1,1-trifluoroethane</v>
          </cell>
          <cell r="F377" t="str">
            <v>306-83-2</v>
          </cell>
        </row>
        <row r="378">
          <cell r="E378" t="str">
            <v>2,4,5-TP (Silvex)</v>
          </cell>
          <cell r="F378" t="str">
            <v>93-72-1</v>
          </cell>
        </row>
        <row r="379">
          <cell r="E379" t="str">
            <v>bis(2-Chloroisopropyl)ether</v>
          </cell>
          <cell r="F379" t="str">
            <v>108-60-1</v>
          </cell>
        </row>
        <row r="380">
          <cell r="E380" t="str">
            <v>Dibenzofuran</v>
          </cell>
          <cell r="F380" t="str">
            <v>132-64-9</v>
          </cell>
        </row>
        <row r="381">
          <cell r="E381" t="str">
            <v>Dibenzothiophene</v>
          </cell>
          <cell r="F381" t="str">
            <v>132-65-0</v>
          </cell>
        </row>
        <row r="382">
          <cell r="E382" t="str">
            <v>Dibromoacetonitrile</v>
          </cell>
          <cell r="F382" t="str">
            <v>124-48-1</v>
          </cell>
        </row>
        <row r="383">
          <cell r="E383" t="str">
            <v>Dibromodichloromethane</v>
          </cell>
          <cell r="F383" t="str">
            <v>594-18-3</v>
          </cell>
        </row>
        <row r="384">
          <cell r="E384" t="str">
            <v>Dibromodifluoromethane</v>
          </cell>
          <cell r="F384" t="str">
            <v>75-61-6</v>
          </cell>
        </row>
        <row r="385">
          <cell r="E385" t="str">
            <v>Dibromofluoromethane</v>
          </cell>
          <cell r="F385" t="str">
            <v>1868-53-7</v>
          </cell>
        </row>
        <row r="386">
          <cell r="E386" t="str">
            <v>Dibromomethane</v>
          </cell>
          <cell r="F386" t="str">
            <v>74-95-3</v>
          </cell>
        </row>
        <row r="387">
          <cell r="E387" t="str">
            <v>Dibutylchlorendate</v>
          </cell>
          <cell r="F387" t="str">
            <v>1770-80-5</v>
          </cell>
        </row>
        <row r="388">
          <cell r="E388" t="str">
            <v>Dibutyltin</v>
          </cell>
          <cell r="F388" t="str">
            <v>1002-53-5</v>
          </cell>
        </row>
        <row r="389">
          <cell r="E389" t="str">
            <v>Dicamba</v>
          </cell>
          <cell r="F389" t="str">
            <v>1918-00-9</v>
          </cell>
        </row>
        <row r="390">
          <cell r="E390" t="str">
            <v>Dichlone</v>
          </cell>
          <cell r="F390" t="str">
            <v>117-80-6</v>
          </cell>
        </row>
        <row r="391">
          <cell r="E391" t="str">
            <v>Dichloroacetic acid</v>
          </cell>
          <cell r="F391" t="str">
            <v>79-43-6</v>
          </cell>
        </row>
        <row r="392">
          <cell r="E392" t="str">
            <v>Dichlorobiphenyl</v>
          </cell>
          <cell r="F392" t="str">
            <v>25512-42-9</v>
          </cell>
        </row>
        <row r="393">
          <cell r="E393" t="str">
            <v>Dichlorodifluoromethane</v>
          </cell>
          <cell r="F393" t="str">
            <v>75-71-8</v>
          </cell>
        </row>
        <row r="394">
          <cell r="E394" t="str">
            <v>Dichlorofluoromethane</v>
          </cell>
          <cell r="F394" t="str">
            <v>75-43-4</v>
          </cell>
        </row>
        <row r="395">
          <cell r="E395" t="str">
            <v>Dichlorovos</v>
          </cell>
          <cell r="F395" t="str">
            <v>62-73-7</v>
          </cell>
        </row>
        <row r="396">
          <cell r="E396" t="str">
            <v>Dichlorprop</v>
          </cell>
          <cell r="F396" t="str">
            <v>120-36-5</v>
          </cell>
        </row>
        <row r="397">
          <cell r="E397" t="str">
            <v>Dicofol</v>
          </cell>
          <cell r="F397" t="str">
            <v>115-32-2</v>
          </cell>
        </row>
        <row r="398">
          <cell r="E398" t="str">
            <v>Dieldrin</v>
          </cell>
          <cell r="F398" t="str">
            <v>60-57-1</v>
          </cell>
        </row>
        <row r="399">
          <cell r="E399" t="str">
            <v>Diquat</v>
          </cell>
          <cell r="F399" t="str">
            <v>85-00-7</v>
          </cell>
        </row>
        <row r="400">
          <cell r="E400" t="str">
            <v>Dissolved Organic Carbon</v>
          </cell>
          <cell r="F400" t="str">
            <v>DOC</v>
          </cell>
        </row>
        <row r="401">
          <cell r="E401" t="str">
            <v>Disulfoton</v>
          </cell>
          <cell r="F401" t="str">
            <v>298-04-4</v>
          </cell>
        </row>
        <row r="402">
          <cell r="E402" t="str">
            <v>Diuron</v>
          </cell>
          <cell r="F402" t="str">
            <v>330-54-1</v>
          </cell>
        </row>
        <row r="403">
          <cell r="E403" t="str">
            <v>Docosane</v>
          </cell>
          <cell r="F403" t="str">
            <v>629-97-0</v>
          </cell>
        </row>
        <row r="404">
          <cell r="E404" t="str">
            <v>Docosanoic acid</v>
          </cell>
          <cell r="F404" t="str">
            <v>112-85-6</v>
          </cell>
        </row>
        <row r="405">
          <cell r="E405" t="str">
            <v>Dodecane</v>
          </cell>
          <cell r="F405" t="str">
            <v>112-40-3</v>
          </cell>
        </row>
        <row r="406">
          <cell r="E406" t="str">
            <v>Dodecanoic acid</v>
          </cell>
          <cell r="F406" t="str">
            <v>143-07-7</v>
          </cell>
        </row>
        <row r="407">
          <cell r="E407" t="str">
            <v>Dysprosium</v>
          </cell>
          <cell r="F407" t="str">
            <v>7429-91-6</v>
          </cell>
        </row>
        <row r="408">
          <cell r="E408" t="str">
            <v>Eicosane</v>
          </cell>
          <cell r="F408" t="str">
            <v>112-95-8</v>
          </cell>
        </row>
        <row r="409">
          <cell r="E409" t="str">
            <v>Endosulfan I</v>
          </cell>
          <cell r="F409" t="str">
            <v>959-98-8</v>
          </cell>
        </row>
        <row r="410">
          <cell r="E410" t="str">
            <v>Endosulfan II</v>
          </cell>
          <cell r="F410" t="str">
            <v>33213-65-9</v>
          </cell>
        </row>
        <row r="411">
          <cell r="E411" t="str">
            <v>Endosulfan sulfate</v>
          </cell>
          <cell r="F411" t="str">
            <v>1031-07-8</v>
          </cell>
        </row>
        <row r="412">
          <cell r="E412" t="str">
            <v>Endosulfan, Total</v>
          </cell>
          <cell r="F412" t="str">
            <v>115-29-7</v>
          </cell>
        </row>
        <row r="413">
          <cell r="E413" t="str">
            <v>Endothal</v>
          </cell>
          <cell r="F413" t="str">
            <v>145-73-3</v>
          </cell>
        </row>
        <row r="414">
          <cell r="E414" t="str">
            <v>Endrin</v>
          </cell>
          <cell r="F414" t="str">
            <v>72-20-8</v>
          </cell>
        </row>
        <row r="415">
          <cell r="E415" t="str">
            <v>Endrin aldehyde</v>
          </cell>
          <cell r="F415" t="str">
            <v>7421-93-4</v>
          </cell>
        </row>
        <row r="416">
          <cell r="E416" t="str">
            <v>Endrin ketone</v>
          </cell>
          <cell r="F416" t="str">
            <v>53494-70-5</v>
          </cell>
        </row>
        <row r="417">
          <cell r="E417" t="str">
            <v>Epichlorhydrin</v>
          </cell>
          <cell r="F417" t="str">
            <v>106-89-8</v>
          </cell>
        </row>
        <row r="418">
          <cell r="E418" t="str">
            <v>EPN (O-Ethyl phenyl (p-nitrophenyl) thiophosphonate)</v>
          </cell>
          <cell r="F418" t="str">
            <v>2104-64-5</v>
          </cell>
        </row>
        <row r="419">
          <cell r="E419" t="str">
            <v>Ethane</v>
          </cell>
          <cell r="F419" t="str">
            <v>74-84-0</v>
          </cell>
        </row>
        <row r="420">
          <cell r="E420" t="str">
            <v>Ethanol (EtOH)</v>
          </cell>
          <cell r="F420" t="str">
            <v>64-17-5</v>
          </cell>
        </row>
        <row r="421">
          <cell r="E421" t="str">
            <v>Ethion</v>
          </cell>
          <cell r="F421" t="str">
            <v>563-12-2</v>
          </cell>
        </row>
        <row r="422">
          <cell r="E422" t="str">
            <v>Ethoprop</v>
          </cell>
          <cell r="F422" t="str">
            <v>13194-48-4</v>
          </cell>
        </row>
        <row r="423">
          <cell r="E423" t="str">
            <v>Europium-152</v>
          </cell>
          <cell r="F423" t="str">
            <v>14683-23-9</v>
          </cell>
        </row>
        <row r="424">
          <cell r="E424" t="str">
            <v>Europium-154</v>
          </cell>
          <cell r="F424" t="str">
            <v>15585-10-1</v>
          </cell>
        </row>
        <row r="425">
          <cell r="E425" t="str">
            <v>Europium-155</v>
          </cell>
          <cell r="F425" t="str">
            <v>14391-16-3</v>
          </cell>
        </row>
        <row r="426">
          <cell r="E426" t="str">
            <v>Famphur</v>
          </cell>
          <cell r="F426" t="str">
            <v>52-85-7</v>
          </cell>
        </row>
        <row r="427">
          <cell r="E427" t="str">
            <v>Fecal Coliform</v>
          </cell>
          <cell r="F427" t="str">
            <v>FCOLI</v>
          </cell>
        </row>
        <row r="428">
          <cell r="E428" t="str">
            <v>Fensulfothion</v>
          </cell>
          <cell r="F428" t="str">
            <v>115-90-2</v>
          </cell>
        </row>
        <row r="429">
          <cell r="E429" t="str">
            <v>Fenthion</v>
          </cell>
          <cell r="F429" t="str">
            <v>55-38-9</v>
          </cell>
        </row>
        <row r="430">
          <cell r="E430" t="str">
            <v>Fenuron</v>
          </cell>
          <cell r="F430" t="str">
            <v>101-42-8</v>
          </cell>
        </row>
        <row r="431">
          <cell r="E431" t="str">
            <v>Flash Point</v>
          </cell>
          <cell r="F431" t="str">
            <v>FLASHPT</v>
          </cell>
        </row>
        <row r="432">
          <cell r="E432" t="str">
            <v>Fluchloralin</v>
          </cell>
          <cell r="F432" t="str">
            <v>33245-39-5</v>
          </cell>
        </row>
        <row r="433">
          <cell r="E433" t="str">
            <v>Fluometuron</v>
          </cell>
          <cell r="F433" t="str">
            <v>2164-17-2</v>
          </cell>
        </row>
        <row r="434">
          <cell r="E434" t="str">
            <v>Fluoranthene</v>
          </cell>
          <cell r="F434" t="str">
            <v>206-44-0</v>
          </cell>
        </row>
        <row r="435">
          <cell r="E435" t="str">
            <v>Fluorene</v>
          </cell>
          <cell r="F435" t="str">
            <v>86-73-7</v>
          </cell>
        </row>
        <row r="436">
          <cell r="E436" t="str">
            <v>Fluoride</v>
          </cell>
          <cell r="F436" t="str">
            <v>16984-48-8</v>
          </cell>
        </row>
        <row r="437">
          <cell r="E437" t="str">
            <v>Fluorine (soluble fluoride)</v>
          </cell>
          <cell r="F437" t="str">
            <v>7782-41-4</v>
          </cell>
        </row>
        <row r="438">
          <cell r="E438" t="str">
            <v>Fluoroacetic acid</v>
          </cell>
          <cell r="F438" t="str">
            <v>144-49-0</v>
          </cell>
        </row>
        <row r="439">
          <cell r="E439" t="str">
            <v>Fluorobenzene</v>
          </cell>
          <cell r="F439" t="str">
            <v>462-06-6</v>
          </cell>
        </row>
        <row r="440">
          <cell r="E440" t="str">
            <v>Folpet</v>
          </cell>
          <cell r="F440" t="str">
            <v>133-07-3</v>
          </cell>
        </row>
        <row r="441">
          <cell r="E441" t="str">
            <v>Formaldehyde</v>
          </cell>
          <cell r="F441" t="str">
            <v>50-00-0</v>
          </cell>
        </row>
        <row r="442">
          <cell r="E442" t="str">
            <v>Formic acid</v>
          </cell>
          <cell r="F442" t="str">
            <v>64-18-6</v>
          </cell>
        </row>
        <row r="443">
          <cell r="E443" t="str">
            <v>Furfural</v>
          </cell>
          <cell r="F443" t="str">
            <v>98-01-1</v>
          </cell>
        </row>
        <row r="444">
          <cell r="E444" t="str">
            <v>Gadolinium-153</v>
          </cell>
          <cell r="F444" t="str">
            <v>7440-54-2</v>
          </cell>
        </row>
        <row r="445">
          <cell r="E445" t="str">
            <v>gamma-BHC (Lindane)</v>
          </cell>
          <cell r="F445" t="str">
            <v>58-89-9</v>
          </cell>
        </row>
        <row r="446">
          <cell r="E446" t="str">
            <v>gamma-Chlordane</v>
          </cell>
          <cell r="F446" t="str">
            <v>5566-34-7</v>
          </cell>
        </row>
        <row r="447">
          <cell r="E447" t="str">
            <v>Gold</v>
          </cell>
          <cell r="F447" t="str">
            <v>7440-57-5</v>
          </cell>
        </row>
        <row r="448">
          <cell r="E448" t="str">
            <v>Hardness as CaCO3</v>
          </cell>
          <cell r="F448" t="str">
            <v>HARDNESS</v>
          </cell>
        </row>
        <row r="449">
          <cell r="E449" t="str">
            <v>Helium</v>
          </cell>
          <cell r="F449" t="str">
            <v>7440-59-7</v>
          </cell>
        </row>
        <row r="450">
          <cell r="E450" t="str">
            <v>Heneicosane</v>
          </cell>
          <cell r="F450" t="str">
            <v>629-94-7</v>
          </cell>
        </row>
        <row r="451">
          <cell r="E451" t="str">
            <v>Heptachlor</v>
          </cell>
          <cell r="F451" t="str">
            <v>76-44-8</v>
          </cell>
        </row>
        <row r="452">
          <cell r="E452" t="str">
            <v>Heptachlor epoxide</v>
          </cell>
          <cell r="F452" t="str">
            <v>1024-57-3</v>
          </cell>
        </row>
        <row r="453">
          <cell r="E453" t="str">
            <v>Heptachlorobiphenyl</v>
          </cell>
          <cell r="F453" t="str">
            <v>28655-71-2</v>
          </cell>
        </row>
        <row r="454">
          <cell r="E454" t="str">
            <v>Heptacosane</v>
          </cell>
          <cell r="F454" t="str">
            <v>593-49-7</v>
          </cell>
        </row>
        <row r="455">
          <cell r="E455" t="str">
            <v>Heptadecane</v>
          </cell>
          <cell r="F455" t="str">
            <v>629-78-7</v>
          </cell>
        </row>
        <row r="456">
          <cell r="E456" t="str">
            <v>Heptanal</v>
          </cell>
          <cell r="F456" t="str">
            <v>111-71-7</v>
          </cell>
        </row>
        <row r="457">
          <cell r="E457" t="str">
            <v>Heptane</v>
          </cell>
          <cell r="F457" t="str">
            <v>142-82-5</v>
          </cell>
        </row>
        <row r="458">
          <cell r="E458" t="str">
            <v>Hexabromobenzene</v>
          </cell>
          <cell r="F458" t="str">
            <v>87-82-1</v>
          </cell>
        </row>
        <row r="459">
          <cell r="E459" t="str">
            <v>Hexachlorobenzene</v>
          </cell>
          <cell r="F459" t="str">
            <v>118-74-1</v>
          </cell>
        </row>
        <row r="460">
          <cell r="E460" t="str">
            <v>Hexachlorobiphenyl</v>
          </cell>
          <cell r="F460" t="str">
            <v>26601-64-9</v>
          </cell>
        </row>
        <row r="461">
          <cell r="E461" t="str">
            <v>Hexachlorobutadiene</v>
          </cell>
          <cell r="F461" t="str">
            <v>87-68-3</v>
          </cell>
        </row>
        <row r="462">
          <cell r="E462" t="str">
            <v>Hexachlorocyclopentadiene</v>
          </cell>
          <cell r="F462" t="str">
            <v>77-47-4</v>
          </cell>
        </row>
        <row r="463">
          <cell r="E463" t="str">
            <v>Hexachloroethane</v>
          </cell>
          <cell r="F463" t="str">
            <v>67-72-1</v>
          </cell>
        </row>
        <row r="464">
          <cell r="E464" t="str">
            <v>Hexachlorophene</v>
          </cell>
          <cell r="F464" t="str">
            <v>70-30-4</v>
          </cell>
        </row>
        <row r="465">
          <cell r="E465" t="str">
            <v>Hexachloropropene</v>
          </cell>
          <cell r="F465" t="str">
            <v>1888-71-7</v>
          </cell>
        </row>
        <row r="466">
          <cell r="E466" t="str">
            <v>Hexacosane</v>
          </cell>
          <cell r="F466" t="str">
            <v>630-01-3</v>
          </cell>
        </row>
        <row r="467">
          <cell r="E467" t="str">
            <v>Hexadecane</v>
          </cell>
          <cell r="F467" t="str">
            <v>544-76-3</v>
          </cell>
        </row>
        <row r="468">
          <cell r="E468" t="str">
            <v>Hexadecanoic acid</v>
          </cell>
          <cell r="F468" t="str">
            <v>57-10-3</v>
          </cell>
        </row>
        <row r="469">
          <cell r="E469" t="str">
            <v>Hexanal</v>
          </cell>
          <cell r="F469" t="str">
            <v>66-25-1</v>
          </cell>
        </row>
        <row r="470">
          <cell r="E470" t="str">
            <v>Hexane</v>
          </cell>
          <cell r="F470" t="str">
            <v>110-54-3</v>
          </cell>
        </row>
        <row r="471">
          <cell r="E471" t="str">
            <v>Hexanoic Acid</v>
          </cell>
          <cell r="F471" t="str">
            <v>142-62-1</v>
          </cell>
        </row>
        <row r="472">
          <cell r="E472" t="str">
            <v>Methyl-2,4,6-trinitrophenylnitramine</v>
          </cell>
          <cell r="F472" t="str">
            <v>479-45-8</v>
          </cell>
        </row>
        <row r="473">
          <cell r="E473" t="str">
            <v>Naphthalene, 1,2,3,4-tetrahydro-</v>
          </cell>
          <cell r="F473" t="str">
            <v>119-64-2</v>
          </cell>
        </row>
        <row r="474">
          <cell r="E474" t="str">
            <v>n-Propylamine</v>
          </cell>
          <cell r="F474" t="str">
            <v>107-10-8</v>
          </cell>
        </row>
        <row r="475">
          <cell r="E475" t="str">
            <v>n-Propylbenzene</v>
          </cell>
          <cell r="F475" t="str">
            <v>103-65-1</v>
          </cell>
        </row>
        <row r="476">
          <cell r="E476" t="str">
            <v>Oxygen, Dissolved</v>
          </cell>
          <cell r="F476" t="str">
            <v>DO</v>
          </cell>
        </row>
        <row r="477">
          <cell r="E477" t="str">
            <v>PBDE-100</v>
          </cell>
          <cell r="F477" t="str">
            <v>189084-64-8</v>
          </cell>
        </row>
        <row r="478">
          <cell r="E478" t="str">
            <v>PBDE-138</v>
          </cell>
          <cell r="F478" t="str">
            <v>182677-30-1</v>
          </cell>
        </row>
        <row r="479">
          <cell r="E479" t="str">
            <v>PBDE-153</v>
          </cell>
          <cell r="F479" t="str">
            <v>68631-49-2</v>
          </cell>
        </row>
        <row r="480">
          <cell r="E480" t="str">
            <v>PBDE-154</v>
          </cell>
          <cell r="F480" t="str">
            <v>207122-15-4</v>
          </cell>
        </row>
        <row r="481">
          <cell r="E481" t="str">
            <v>PBDE-17</v>
          </cell>
          <cell r="F481" t="str">
            <v>147217-75-2</v>
          </cell>
        </row>
        <row r="482">
          <cell r="E482" t="str">
            <v>PBDE-183</v>
          </cell>
          <cell r="F482" t="str">
            <v>147217-75-3</v>
          </cell>
        </row>
        <row r="483">
          <cell r="E483" t="str">
            <v>PBDE-28</v>
          </cell>
          <cell r="F483" t="str">
            <v>41318-75-6</v>
          </cell>
        </row>
        <row r="484">
          <cell r="E484" t="str">
            <v>PBDE-47</v>
          </cell>
          <cell r="F484" t="str">
            <v>5436-43-1</v>
          </cell>
        </row>
        <row r="485">
          <cell r="E485" t="str">
            <v>PBDE-66</v>
          </cell>
          <cell r="F485" t="str">
            <v>189084-61-5</v>
          </cell>
        </row>
        <row r="486">
          <cell r="E486" t="str">
            <v>PBDE-71</v>
          </cell>
          <cell r="F486" t="str">
            <v>189084-62-6</v>
          </cell>
        </row>
        <row r="487">
          <cell r="E487" t="str">
            <v>PBDE-85</v>
          </cell>
          <cell r="F487" t="str">
            <v>182346-21-0</v>
          </cell>
        </row>
        <row r="488">
          <cell r="E488" t="str">
            <v>PBDE-99</v>
          </cell>
          <cell r="F488" t="str">
            <v>60348-60-9</v>
          </cell>
        </row>
        <row r="489">
          <cell r="E489" t="str">
            <v>Phosphoric acid</v>
          </cell>
          <cell r="F489" t="str">
            <v>7664-38-2</v>
          </cell>
        </row>
        <row r="490">
          <cell r="E490" t="str">
            <v>Platinum</v>
          </cell>
          <cell r="F490" t="str">
            <v>7440-06-4</v>
          </cell>
        </row>
        <row r="491">
          <cell r="E491" t="str">
            <v>Plutonium-239</v>
          </cell>
          <cell r="F491" t="str">
            <v>15117-48-3</v>
          </cell>
        </row>
        <row r="492">
          <cell r="E492" t="str">
            <v>Potassium</v>
          </cell>
          <cell r="F492" t="str">
            <v>7440-09-7</v>
          </cell>
        </row>
        <row r="493">
          <cell r="E493" t="str">
            <v>Potassium-40</v>
          </cell>
          <cell r="F493" t="str">
            <v>13966-00-2</v>
          </cell>
        </row>
        <row r="494">
          <cell r="E494" t="str">
            <v>Prometon</v>
          </cell>
          <cell r="F494" t="str">
            <v>1610-18-0</v>
          </cell>
        </row>
        <row r="495">
          <cell r="E495" t="str">
            <v>Pronamide</v>
          </cell>
          <cell r="F495" t="str">
            <v>23950-58-5</v>
          </cell>
        </row>
        <row r="496">
          <cell r="E496" t="str">
            <v>Propachlor</v>
          </cell>
          <cell r="F496" t="str">
            <v>1918-16-7</v>
          </cell>
        </row>
        <row r="497">
          <cell r="E497" t="str">
            <v>Propanal</v>
          </cell>
          <cell r="F497" t="str">
            <v>123-38-6</v>
          </cell>
        </row>
        <row r="498">
          <cell r="E498" t="str">
            <v>Propane</v>
          </cell>
          <cell r="F498" t="str">
            <v>74-98-6</v>
          </cell>
        </row>
        <row r="499">
          <cell r="E499" t="str">
            <v>Propargite</v>
          </cell>
          <cell r="F499" t="str">
            <v>2312-35-8</v>
          </cell>
        </row>
        <row r="500">
          <cell r="E500" t="str">
            <v>Propazine</v>
          </cell>
          <cell r="F500" t="str">
            <v>139-40-2</v>
          </cell>
        </row>
        <row r="501">
          <cell r="E501" t="str">
            <v>Propham</v>
          </cell>
          <cell r="F501" t="str">
            <v>122-42-9</v>
          </cell>
        </row>
        <row r="502">
          <cell r="E502" t="str">
            <v>Propionitrile</v>
          </cell>
          <cell r="F502" t="str">
            <v>107-12-0</v>
          </cell>
        </row>
        <row r="503">
          <cell r="E503" t="str">
            <v>Propylene</v>
          </cell>
          <cell r="F503" t="str">
            <v>115-07-1</v>
          </cell>
        </row>
        <row r="504">
          <cell r="E504" t="str">
            <v>Propylene glycol</v>
          </cell>
          <cell r="F504" t="str">
            <v>57-55-6</v>
          </cell>
        </row>
        <row r="505">
          <cell r="E505" t="str">
            <v>Propylene oxide</v>
          </cell>
          <cell r="F505" t="str">
            <v>75-56-9</v>
          </cell>
        </row>
        <row r="506">
          <cell r="E506" t="str">
            <v>Propylthiouracil</v>
          </cell>
          <cell r="F506" t="str">
            <v>51-52-5</v>
          </cell>
        </row>
        <row r="507">
          <cell r="E507" t="str">
            <v>Protactinium-234</v>
          </cell>
          <cell r="F507" t="str">
            <v>15100-28-4</v>
          </cell>
        </row>
        <row r="508">
          <cell r="E508" t="str">
            <v>p-Terphenyl</v>
          </cell>
          <cell r="F508" t="str">
            <v>92-94-4</v>
          </cell>
        </row>
        <row r="509">
          <cell r="E509" t="str">
            <v>p-Toluidine</v>
          </cell>
          <cell r="F509" t="str">
            <v>106-49-0</v>
          </cell>
        </row>
        <row r="510">
          <cell r="E510" t="str">
            <v>p-Xylene</v>
          </cell>
          <cell r="F510" t="str">
            <v>106-42-3</v>
          </cell>
        </row>
        <row r="511">
          <cell r="E511" t="str">
            <v>Pyrene</v>
          </cell>
          <cell r="F511" t="str">
            <v>129-00-0</v>
          </cell>
        </row>
        <row r="512">
          <cell r="E512" t="str">
            <v>Pyridine</v>
          </cell>
          <cell r="F512" t="str">
            <v>110-86-1</v>
          </cell>
        </row>
        <row r="513">
          <cell r="E513" t="str">
            <v>Pyruvic Acid</v>
          </cell>
          <cell r="F513" t="str">
            <v>127-17-3</v>
          </cell>
        </row>
        <row r="514">
          <cell r="E514" t="str">
            <v>Radium</v>
          </cell>
          <cell r="F514" t="str">
            <v>7440-14-4</v>
          </cell>
        </row>
        <row r="515">
          <cell r="E515" t="str">
            <v>Radium-224</v>
          </cell>
          <cell r="F515" t="str">
            <v>13233-32-4</v>
          </cell>
        </row>
        <row r="516">
          <cell r="E516" t="str">
            <v>Radium-226</v>
          </cell>
          <cell r="F516" t="str">
            <v>13982-63-3</v>
          </cell>
        </row>
        <row r="517">
          <cell r="E517" t="str">
            <v>Radium-228</v>
          </cell>
          <cell r="F517" t="str">
            <v>15262-20-1</v>
          </cell>
        </row>
        <row r="518">
          <cell r="E518" t="str">
            <v>Radon-219</v>
          </cell>
          <cell r="F518" t="str">
            <v>10043-92-2</v>
          </cell>
        </row>
        <row r="519">
          <cell r="E519" t="str">
            <v>Radon-222</v>
          </cell>
          <cell r="F519" t="str">
            <v>14859-67-7</v>
          </cell>
        </row>
        <row r="520">
          <cell r="E520" t="str">
            <v>Ronnel</v>
          </cell>
          <cell r="F520" t="str">
            <v>299-84-3</v>
          </cell>
        </row>
        <row r="521">
          <cell r="E521" t="str">
            <v>Rotenone</v>
          </cell>
          <cell r="F521" t="str">
            <v>83-79-4</v>
          </cell>
        </row>
        <row r="522">
          <cell r="E522" t="str">
            <v>Ruthenium-106</v>
          </cell>
          <cell r="F522" t="str">
            <v>13967-48-1</v>
          </cell>
        </row>
        <row r="523">
          <cell r="E523" t="str">
            <v>Safrole</v>
          </cell>
          <cell r="F523" t="str">
            <v>94-59-7</v>
          </cell>
        </row>
        <row r="524">
          <cell r="E524" t="str">
            <v>Salinity</v>
          </cell>
          <cell r="F524" t="str">
            <v>SAL</v>
          </cell>
        </row>
        <row r="525">
          <cell r="E525" t="str">
            <v>Scandium</v>
          </cell>
          <cell r="F525" t="str">
            <v>13967-63-0</v>
          </cell>
        </row>
        <row r="526">
          <cell r="E526" t="str">
            <v>sec-Butylbenzene</v>
          </cell>
          <cell r="F526" t="str">
            <v>135-98-8</v>
          </cell>
        </row>
        <row r="527">
          <cell r="E527" t="str">
            <v>Selenium</v>
          </cell>
          <cell r="F527" t="str">
            <v>7782-49-2</v>
          </cell>
        </row>
        <row r="528">
          <cell r="E528" t="str">
            <v>Settleable Matter</v>
          </cell>
          <cell r="F528" t="str">
            <v>SS</v>
          </cell>
        </row>
        <row r="529">
          <cell r="E529" t="str">
            <v>Siduron</v>
          </cell>
          <cell r="F529" t="str">
            <v>1982-49-6</v>
          </cell>
        </row>
        <row r="530">
          <cell r="E530" t="str">
            <v>Silica</v>
          </cell>
          <cell r="F530" t="str">
            <v>7631-86-9</v>
          </cell>
        </row>
        <row r="531">
          <cell r="E531" t="str">
            <v>Silicon</v>
          </cell>
          <cell r="F531" t="str">
            <v>7440-21-3</v>
          </cell>
        </row>
        <row r="532">
          <cell r="E532" t="str">
            <v>Silver</v>
          </cell>
          <cell r="F532" t="str">
            <v>7440-22-4</v>
          </cell>
        </row>
        <row r="533">
          <cell r="E533" t="str">
            <v>Simazine</v>
          </cell>
          <cell r="F533" t="str">
            <v>122-34-9</v>
          </cell>
        </row>
        <row r="534">
          <cell r="E534" t="str">
            <v>Simetryn</v>
          </cell>
          <cell r="F534" t="str">
            <v>1014-70-6</v>
          </cell>
        </row>
        <row r="535">
          <cell r="E535" t="str">
            <v>Sodium</v>
          </cell>
          <cell r="F535" t="str">
            <v>7440-23-5</v>
          </cell>
        </row>
        <row r="536">
          <cell r="E536" t="str">
            <v>Sodium-22</v>
          </cell>
          <cell r="F536" t="str">
            <v>13966-32-0</v>
          </cell>
        </row>
        <row r="537">
          <cell r="E537" t="str">
            <v>Specific Conductance</v>
          </cell>
          <cell r="F537" t="str">
            <v>SC</v>
          </cell>
        </row>
        <row r="538">
          <cell r="E538" t="str">
            <v>Strontium</v>
          </cell>
          <cell r="F538" t="str">
            <v>7440-24-6</v>
          </cell>
        </row>
        <row r="539">
          <cell r="E539" t="str">
            <v>Strontium-85</v>
          </cell>
          <cell r="F539" t="str">
            <v>13967-73-2</v>
          </cell>
        </row>
        <row r="540">
          <cell r="E540" t="str">
            <v>Strontium-90</v>
          </cell>
          <cell r="F540" t="str">
            <v>10098-97-2</v>
          </cell>
        </row>
        <row r="541">
          <cell r="E541" t="str">
            <v>Strychnine</v>
          </cell>
          <cell r="F541" t="str">
            <v>57-24-9</v>
          </cell>
        </row>
        <row r="542">
          <cell r="E542" t="str">
            <v>Styrene</v>
          </cell>
          <cell r="F542" t="str">
            <v>100-42-5</v>
          </cell>
        </row>
        <row r="543">
          <cell r="E543" t="str">
            <v>Sulfallate</v>
          </cell>
          <cell r="F543" t="str">
            <v>95-06-7</v>
          </cell>
        </row>
        <row r="544">
          <cell r="E544" t="str">
            <v>Sulfate</v>
          </cell>
          <cell r="F544" t="str">
            <v>14808-79-8</v>
          </cell>
        </row>
        <row r="545">
          <cell r="E545" t="str">
            <v>Sulfide</v>
          </cell>
          <cell r="F545" t="str">
            <v>18496-25-8</v>
          </cell>
        </row>
        <row r="546">
          <cell r="E546" t="str">
            <v>Sulfite</v>
          </cell>
          <cell r="F546" t="str">
            <v>14265-45-3</v>
          </cell>
        </row>
        <row r="547">
          <cell r="E547" t="str">
            <v>Sulfotep</v>
          </cell>
          <cell r="F547" t="str">
            <v>3689-24-5</v>
          </cell>
        </row>
        <row r="548">
          <cell r="E548" t="str">
            <v>Sulfur</v>
          </cell>
          <cell r="F548" t="str">
            <v>7704-34-9</v>
          </cell>
        </row>
        <row r="549">
          <cell r="E549" t="str">
            <v>Sulfur Dioxide</v>
          </cell>
          <cell r="F549" t="str">
            <v>7446-09-5</v>
          </cell>
        </row>
        <row r="550">
          <cell r="E550" t="str">
            <v>Sulfuric Acid</v>
          </cell>
          <cell r="F550" t="str">
            <v>7664-93-9</v>
          </cell>
        </row>
        <row r="551">
          <cell r="E551" t="str">
            <v>Tebuthiuron</v>
          </cell>
          <cell r="F551" t="str">
            <v>34014-18-1</v>
          </cell>
        </row>
        <row r="552">
          <cell r="E552" t="str">
            <v>Tellurium</v>
          </cell>
          <cell r="F552" t="str">
            <v>13494-80-9</v>
          </cell>
        </row>
        <row r="553">
          <cell r="E553" t="str">
            <v>Temephos</v>
          </cell>
          <cell r="F553" t="str">
            <v>3383-96-8</v>
          </cell>
        </row>
        <row r="554">
          <cell r="E554" t="str">
            <v>Temperature</v>
          </cell>
          <cell r="F554" t="str">
            <v>TEMP</v>
          </cell>
        </row>
        <row r="555">
          <cell r="E555" t="str">
            <v>Terbacil</v>
          </cell>
          <cell r="F555" t="str">
            <v>5902-51-2</v>
          </cell>
        </row>
        <row r="556">
          <cell r="E556" t="str">
            <v>Terbufos</v>
          </cell>
          <cell r="F556" t="str">
            <v>13071-79-9</v>
          </cell>
        </row>
        <row r="557">
          <cell r="E557" t="str">
            <v>Terbutryn</v>
          </cell>
          <cell r="F557" t="str">
            <v>886-50-0</v>
          </cell>
        </row>
        <row r="558">
          <cell r="E558" t="str">
            <v>Terphenyl-d14</v>
          </cell>
          <cell r="F558" t="str">
            <v>1718-51-0</v>
          </cell>
        </row>
        <row r="559">
          <cell r="E559" t="str">
            <v>tert-Amyl methyl ether (TAME)</v>
          </cell>
          <cell r="F559" t="str">
            <v>994-05-8</v>
          </cell>
        </row>
        <row r="560">
          <cell r="E560" t="str">
            <v>tert-Butyl alcohol (TBA)</v>
          </cell>
          <cell r="F560" t="str">
            <v>75-65-0</v>
          </cell>
        </row>
        <row r="561">
          <cell r="E561" t="str">
            <v>tert-Butyl formate (TBF)</v>
          </cell>
          <cell r="F561" t="str">
            <v>762-75-4</v>
          </cell>
        </row>
        <row r="562">
          <cell r="E562" t="str">
            <v>tert-Butylbenzene</v>
          </cell>
          <cell r="F562" t="str">
            <v>98-06-6</v>
          </cell>
        </row>
        <row r="563">
          <cell r="E563" t="str">
            <v>Tetrabutyltin</v>
          </cell>
          <cell r="F563" t="str">
            <v>1461-25-2</v>
          </cell>
        </row>
        <row r="564">
          <cell r="E564" t="str">
            <v>Tetrachlorobiphenyl</v>
          </cell>
          <cell r="F564" t="str">
            <v>26914-33-0</v>
          </cell>
        </row>
        <row r="565">
          <cell r="E565" t="str">
            <v>Tetrachloroethene (PCE)</v>
          </cell>
          <cell r="F565" t="str">
            <v>127-18-4</v>
          </cell>
        </row>
        <row r="566">
          <cell r="E566" t="str">
            <v>Tetrachloro-m-xylene</v>
          </cell>
          <cell r="F566" t="str">
            <v>877-09-8</v>
          </cell>
        </row>
        <row r="567">
          <cell r="E567" t="str">
            <v>Tetrachlorvinphos (Stirophos)</v>
          </cell>
          <cell r="F567" t="str">
            <v>22248-79-9</v>
          </cell>
        </row>
        <row r="568">
          <cell r="E568" t="str">
            <v>Tetracosane</v>
          </cell>
          <cell r="F568" t="str">
            <v>646-31-1</v>
          </cell>
        </row>
        <row r="569">
          <cell r="E569" t="str">
            <v>Tetracosanoic acid</v>
          </cell>
          <cell r="F569" t="str">
            <v>544-63-8</v>
          </cell>
        </row>
        <row r="570">
          <cell r="E570" t="str">
            <v>Tetraethyl lead</v>
          </cell>
          <cell r="F570" t="str">
            <v>78-00-2</v>
          </cell>
        </row>
        <row r="571">
          <cell r="E571" t="str">
            <v>Tetraethyl pyrophosphate</v>
          </cell>
          <cell r="F571" t="str">
            <v>107-49-3</v>
          </cell>
        </row>
        <row r="572">
          <cell r="E572" t="str">
            <v>Tetraethylene glycol</v>
          </cell>
          <cell r="F572" t="str">
            <v>112-60-7</v>
          </cell>
        </row>
        <row r="573">
          <cell r="E573" t="str">
            <v>Tetrahydrofuran</v>
          </cell>
          <cell r="F573" t="str">
            <v>109-99-9</v>
          </cell>
        </row>
        <row r="574">
          <cell r="E574" t="str">
            <v>Tetrahydrothiophene</v>
          </cell>
          <cell r="F574" t="str">
            <v>110-01-0</v>
          </cell>
        </row>
        <row r="575">
          <cell r="E575" t="str">
            <v>Tetramethyl Lead</v>
          </cell>
          <cell r="F575" t="str">
            <v>75-74-1</v>
          </cell>
        </row>
        <row r="576">
          <cell r="E576" t="str">
            <v>Tetratriacontane</v>
          </cell>
          <cell r="F576" t="str">
            <v>14167-59-0</v>
          </cell>
        </row>
        <row r="577">
          <cell r="E577" t="str">
            <v>Thallium</v>
          </cell>
          <cell r="F577" t="str">
            <v>7440-28-0</v>
          </cell>
        </row>
        <row r="578">
          <cell r="E578" t="str">
            <v>Thallium-208</v>
          </cell>
          <cell r="F578" t="str">
            <v>14913-50-9</v>
          </cell>
        </row>
        <row r="579">
          <cell r="E579" t="str">
            <v>Thiobencarb</v>
          </cell>
          <cell r="F579" t="str">
            <v>28249-77-6</v>
          </cell>
        </row>
        <row r="580">
          <cell r="E580" t="str">
            <v>Thiodiglycol</v>
          </cell>
          <cell r="F580" t="str">
            <v>111-48-8</v>
          </cell>
        </row>
        <row r="581">
          <cell r="E581" t="str">
            <v>Thionazine</v>
          </cell>
          <cell r="F581" t="str">
            <v>297-97-2</v>
          </cell>
        </row>
        <row r="582">
          <cell r="E582" t="str">
            <v>Thiophene</v>
          </cell>
          <cell r="F582" t="str">
            <v>110-02-1</v>
          </cell>
        </row>
        <row r="583">
          <cell r="E583" t="str">
            <v>Thiophenol (Benzenethiol)</v>
          </cell>
          <cell r="F583" t="str">
            <v>108-98-5</v>
          </cell>
        </row>
        <row r="584">
          <cell r="E584" t="str">
            <v>Thiram</v>
          </cell>
          <cell r="F584" t="str">
            <v>137-26-8</v>
          </cell>
        </row>
        <row r="585">
          <cell r="E585" t="str">
            <v>Thorium-227</v>
          </cell>
          <cell r="F585" t="str">
            <v>15623-47-9</v>
          </cell>
        </row>
        <row r="586">
          <cell r="E586" t="str">
            <v>Thorium-228</v>
          </cell>
          <cell r="F586" t="str">
            <v>14274-82-9</v>
          </cell>
        </row>
        <row r="587">
          <cell r="E587" t="str">
            <v>Thorium-230</v>
          </cell>
          <cell r="F587" t="str">
            <v>14269-63-7</v>
          </cell>
        </row>
        <row r="588">
          <cell r="E588" t="str">
            <v>Thorium-232</v>
          </cell>
          <cell r="F588" t="str">
            <v>7440-29-1</v>
          </cell>
        </row>
        <row r="589">
          <cell r="E589" t="str">
            <v>Thorium-234</v>
          </cell>
          <cell r="F589" t="str">
            <v>15065-10-8</v>
          </cell>
        </row>
        <row r="590">
          <cell r="E590" t="str">
            <v>Tin</v>
          </cell>
          <cell r="F590" t="str">
            <v>7440-31-5</v>
          </cell>
        </row>
        <row r="591">
          <cell r="E591" t="str">
            <v>Urea</v>
          </cell>
          <cell r="F591" t="str">
            <v>62-56-6</v>
          </cell>
        </row>
        <row r="592">
          <cell r="E592" t="str">
            <v>9H-Fluorene, 2-methyl-</v>
          </cell>
          <cell r="F592" t="str">
            <v>1430-97-3</v>
          </cell>
        </row>
        <row r="593">
          <cell r="E593" t="str">
            <v>2,4,6-Trichloroaniline</v>
          </cell>
          <cell r="F593" t="str">
            <v>634-93-5</v>
          </cell>
        </row>
        <row r="594">
          <cell r="E594" t="str">
            <v>Decanoic acid</v>
          </cell>
          <cell r="F594" t="str">
            <v>334-48-5</v>
          </cell>
        </row>
        <row r="595">
          <cell r="E595" t="str">
            <v>Benzal chloride</v>
          </cell>
          <cell r="F595" t="str">
            <v>98-87-3</v>
          </cell>
        </row>
        <row r="596">
          <cell r="E596" t="str">
            <v>Acrylic Acid</v>
          </cell>
          <cell r="F596" t="str">
            <v>79-10-7</v>
          </cell>
        </row>
        <row r="597">
          <cell r="E597" t="str">
            <v>Actinium-228</v>
          </cell>
          <cell r="F597" t="str">
            <v>14331-83-0</v>
          </cell>
        </row>
        <row r="598">
          <cell r="E598" t="str">
            <v>Acetonitrile</v>
          </cell>
          <cell r="F598" t="str">
            <v>75-05-8</v>
          </cell>
        </row>
        <row r="599">
          <cell r="E599" t="str">
            <v>Acetone</v>
          </cell>
          <cell r="F599" t="str">
            <v>67-64-1</v>
          </cell>
        </row>
        <row r="600">
          <cell r="E600" t="str">
            <v>Acephate</v>
          </cell>
          <cell r="F600" t="str">
            <v>30560-19-1</v>
          </cell>
        </row>
        <row r="601">
          <cell r="E601" t="str">
            <v>Acetaldehyde</v>
          </cell>
          <cell r="F601" t="str">
            <v>75-07-0</v>
          </cell>
        </row>
        <row r="602">
          <cell r="E602" t="str">
            <v>Acetic acid</v>
          </cell>
          <cell r="F602" t="str">
            <v>64-19-7</v>
          </cell>
        </row>
        <row r="603">
          <cell r="E603" t="str">
            <v>Acetylene</v>
          </cell>
          <cell r="F603" t="str">
            <v>74-86-2</v>
          </cell>
        </row>
        <row r="604">
          <cell r="E604" t="str">
            <v>Acenaphthene</v>
          </cell>
          <cell r="F604" t="str">
            <v>83-32-9</v>
          </cell>
        </row>
        <row r="605">
          <cell r="E605" t="str">
            <v>Acenaphthylene</v>
          </cell>
          <cell r="F605" t="str">
            <v>208-96-8</v>
          </cell>
        </row>
        <row r="606">
          <cell r="E606" t="str">
            <v>Acetophenone</v>
          </cell>
          <cell r="F606" t="str">
            <v>98-86-2</v>
          </cell>
        </row>
        <row r="607">
          <cell r="E607" t="str">
            <v>Acrylonitrile</v>
          </cell>
          <cell r="F607" t="str">
            <v>107-13-1</v>
          </cell>
        </row>
        <row r="608">
          <cell r="E608" t="str">
            <v>Acrolein</v>
          </cell>
          <cell r="F608" t="str">
            <v>107-02-8</v>
          </cell>
        </row>
        <row r="609">
          <cell r="E609" t="str">
            <v>Acrylamide</v>
          </cell>
          <cell r="F609" t="str">
            <v>79-06-1</v>
          </cell>
        </row>
        <row r="610">
          <cell r="E610" t="str">
            <v>Asbestos, Actinolite</v>
          </cell>
          <cell r="F610" t="str">
            <v>77536-66-4</v>
          </cell>
        </row>
        <row r="611">
          <cell r="E611" t="str">
            <v>Acifluorfen</v>
          </cell>
          <cell r="F611" t="str">
            <v>50594-66-6</v>
          </cell>
        </row>
        <row r="612">
          <cell r="E612" t="str">
            <v>Aluminum</v>
          </cell>
          <cell r="F612" t="str">
            <v>7429-90-5</v>
          </cell>
        </row>
        <row r="613">
          <cell r="E613" t="str">
            <v>Alachlor</v>
          </cell>
          <cell r="F613" t="str">
            <v>15972-60-8</v>
          </cell>
        </row>
        <row r="614">
          <cell r="E614" t="str">
            <v>Aldicarb</v>
          </cell>
          <cell r="F614" t="str">
            <v>116-06-3</v>
          </cell>
        </row>
        <row r="615">
          <cell r="E615" t="str">
            <v>Aldrin</v>
          </cell>
          <cell r="F615" t="str">
            <v>309-00-2</v>
          </cell>
        </row>
        <row r="616">
          <cell r="E616" t="str">
            <v>Aldicarb sulfone</v>
          </cell>
          <cell r="F616" t="str">
            <v>1646-88-4</v>
          </cell>
        </row>
        <row r="617">
          <cell r="E617" t="str">
            <v>Bicarbonate Alkalinity as CACO3</v>
          </cell>
          <cell r="F617" t="str">
            <v>ALK</v>
          </cell>
        </row>
        <row r="618">
          <cell r="E618" t="str">
            <v>Allyl alcohol</v>
          </cell>
          <cell r="F618" t="str">
            <v>107-18-6</v>
          </cell>
        </row>
        <row r="619">
          <cell r="E619" t="str">
            <v>Americium-241</v>
          </cell>
          <cell r="F619" t="str">
            <v>86954-36-1</v>
          </cell>
        </row>
        <row r="620">
          <cell r="E620" t="str">
            <v>2-Aminoanthraquinone</v>
          </cell>
          <cell r="F620" t="str">
            <v>117-79-3</v>
          </cell>
        </row>
        <row r="621">
          <cell r="E621" t="str">
            <v>alpha-Methylstyrene</v>
          </cell>
          <cell r="F621" t="str">
            <v>98-83-9</v>
          </cell>
        </row>
        <row r="622">
          <cell r="E622" t="str">
            <v>Ametryn</v>
          </cell>
          <cell r="F622" t="str">
            <v>834-12-8</v>
          </cell>
        </row>
        <row r="623">
          <cell r="E623" t="str">
            <v>Aminocarb</v>
          </cell>
          <cell r="F623" t="str">
            <v>2032-59-9</v>
          </cell>
        </row>
        <row r="624">
          <cell r="E624" t="str">
            <v>2-Naphthylamine</v>
          </cell>
          <cell r="F624" t="str">
            <v>91-59-8</v>
          </cell>
        </row>
        <row r="625">
          <cell r="E625" t="str">
            <v>Asbestos, Amosite (Grunerite)</v>
          </cell>
          <cell r="F625" t="str">
            <v>12172-73-5</v>
          </cell>
        </row>
        <row r="626">
          <cell r="E626" t="str">
            <v>5a-Androstane</v>
          </cell>
          <cell r="F626" t="str">
            <v>438-22-2</v>
          </cell>
        </row>
        <row r="627">
          <cell r="E627" t="str">
            <v>Aniline</v>
          </cell>
          <cell r="F627" t="str">
            <v>62-53-3</v>
          </cell>
        </row>
        <row r="628">
          <cell r="E628" t="str">
            <v>Anilazine</v>
          </cell>
          <cell r="F628" t="str">
            <v>101-05-3</v>
          </cell>
        </row>
        <row r="629">
          <cell r="E629" t="str">
            <v>Aramite</v>
          </cell>
          <cell r="F629" t="str">
            <v>140-57-8</v>
          </cell>
        </row>
        <row r="630">
          <cell r="E630" t="str">
            <v>Arsenic</v>
          </cell>
          <cell r="F630" t="str">
            <v>7440-38-2</v>
          </cell>
        </row>
        <row r="631">
          <cell r="E631" t="str">
            <v>Asbestos</v>
          </cell>
          <cell r="F631" t="str">
            <v>1332-21-4</v>
          </cell>
        </row>
        <row r="632">
          <cell r="E632" t="str">
            <v>alpha-Terpineol</v>
          </cell>
          <cell r="F632" t="str">
            <v>98-55-5</v>
          </cell>
        </row>
        <row r="633">
          <cell r="E633" t="str">
            <v>Atrazine</v>
          </cell>
          <cell r="F633" t="str">
            <v>1912-24-9</v>
          </cell>
        </row>
        <row r="634">
          <cell r="E634" t="str">
            <v>Azinphos methyl</v>
          </cell>
          <cell r="F634" t="str">
            <v>86-50-0</v>
          </cell>
        </row>
        <row r="635">
          <cell r="E635" t="str">
            <v>Azobenzene</v>
          </cell>
          <cell r="F635" t="str">
            <v>103-33-3</v>
          </cell>
        </row>
        <row r="636">
          <cell r="E636" t="str">
            <v>Boron</v>
          </cell>
          <cell r="F636" t="str">
            <v>7440-42-8</v>
          </cell>
        </row>
        <row r="637">
          <cell r="E637" t="str">
            <v>Barium</v>
          </cell>
          <cell r="F637" t="str">
            <v>7440-39-3</v>
          </cell>
        </row>
        <row r="638">
          <cell r="E638" t="str">
            <v>Barban</v>
          </cell>
          <cell r="F638" t="str">
            <v>101-27-9</v>
          </cell>
        </row>
        <row r="639">
          <cell r="E639" t="str">
            <v>Benzyl butyl phthalate</v>
          </cell>
          <cell r="F639" t="str">
            <v>85-68-7</v>
          </cell>
        </row>
        <row r="640">
          <cell r="E640" t="str">
            <v>Bromodichloromethane</v>
          </cell>
          <cell r="F640" t="str">
            <v>75-27-4</v>
          </cell>
        </row>
        <row r="641">
          <cell r="E641" t="str">
            <v>Beryllium</v>
          </cell>
          <cell r="F641" t="str">
            <v>7440-41-7</v>
          </cell>
        </row>
        <row r="642">
          <cell r="E642" t="str">
            <v>Beryllium-7</v>
          </cell>
          <cell r="F642" t="str">
            <v>13966-02-4</v>
          </cell>
        </row>
        <row r="643">
          <cell r="E643" t="str">
            <v>Bendiocarb</v>
          </cell>
          <cell r="F643" t="str">
            <v>22781-23-3</v>
          </cell>
        </row>
        <row r="644">
          <cell r="E644" t="str">
            <v>Benomyl</v>
          </cell>
          <cell r="F644" t="str">
            <v>17804-35-2</v>
          </cell>
        </row>
        <row r="645">
          <cell r="E645" t="str">
            <v>alpha-BHC</v>
          </cell>
          <cell r="F645" t="str">
            <v>319-84-6</v>
          </cell>
        </row>
        <row r="646">
          <cell r="E646" t="str">
            <v>beta-BHC</v>
          </cell>
          <cell r="F646" t="str">
            <v>319-85-7</v>
          </cell>
        </row>
        <row r="647">
          <cell r="E647" t="str">
            <v>Bismuth</v>
          </cell>
          <cell r="F647" t="str">
            <v>7440-69-9</v>
          </cell>
        </row>
        <row r="648">
          <cell r="E648" t="str">
            <v>Bismuth-212</v>
          </cell>
          <cell r="F648" t="str">
            <v>14913-49-6</v>
          </cell>
        </row>
        <row r="649">
          <cell r="E649" t="str">
            <v>Bismuth-214</v>
          </cell>
          <cell r="F649" t="str">
            <v>14733-03-0</v>
          </cell>
        </row>
        <row r="650">
          <cell r="E650" t="str">
            <v>Biphenyl</v>
          </cell>
          <cell r="F650" t="str">
            <v>92-52-4</v>
          </cell>
        </row>
        <row r="651">
          <cell r="E651" t="str">
            <v>Bisphenol A</v>
          </cell>
          <cell r="F651" t="str">
            <v>80-05-7</v>
          </cell>
        </row>
        <row r="652">
          <cell r="E652" t="str">
            <v>Bromide</v>
          </cell>
          <cell r="F652" t="str">
            <v>24959-67-9</v>
          </cell>
        </row>
        <row r="653">
          <cell r="E653" t="str">
            <v>Bromochloromethane</v>
          </cell>
          <cell r="F653" t="str">
            <v>74-97-5</v>
          </cell>
        </row>
        <row r="654">
          <cell r="E654" t="str">
            <v>Bromoethane</v>
          </cell>
          <cell r="F654" t="str">
            <v>74-96-4</v>
          </cell>
        </row>
        <row r="655">
          <cell r="E655" t="str">
            <v>Bromomethane</v>
          </cell>
          <cell r="F655" t="str">
            <v>74-83-9</v>
          </cell>
        </row>
        <row r="656">
          <cell r="E656" t="str">
            <v>Bromate ion (BrO3) (1-)</v>
          </cell>
          <cell r="F656" t="str">
            <v>15541-45-4</v>
          </cell>
        </row>
        <row r="657">
          <cell r="E657" t="str">
            <v>Bromacil</v>
          </cell>
          <cell r="F657" t="str">
            <v>314-40-9</v>
          </cell>
        </row>
        <row r="658">
          <cell r="E658" t="str">
            <v>Bromine</v>
          </cell>
          <cell r="F658" t="str">
            <v>7726-95-6</v>
          </cell>
        </row>
        <row r="659">
          <cell r="E659" t="str">
            <v>Bromoxynil</v>
          </cell>
          <cell r="F659" t="str">
            <v>1689-84-5</v>
          </cell>
        </row>
        <row r="660">
          <cell r="E660" t="str">
            <v>n-Butyl mercaptan</v>
          </cell>
          <cell r="F660" t="str">
            <v>109-79-5</v>
          </cell>
        </row>
        <row r="661">
          <cell r="E661" t="str">
            <v>n-Butanol</v>
          </cell>
          <cell r="F661" t="str">
            <v>71-36-3</v>
          </cell>
        </row>
        <row r="662">
          <cell r="E662" t="str">
            <v>Butyltin</v>
          </cell>
          <cell r="F662" t="str">
            <v>2406-65-7</v>
          </cell>
        </row>
        <row r="663">
          <cell r="E663" t="str">
            <v>Bentazon</v>
          </cell>
          <cell r="F663" t="str">
            <v>25057-89-0</v>
          </cell>
        </row>
        <row r="664">
          <cell r="E664" t="str">
            <v>Butachlor</v>
          </cell>
          <cell r="F664" t="str">
            <v>23184-66-9</v>
          </cell>
        </row>
        <row r="665">
          <cell r="E665" t="str">
            <v>Butylate</v>
          </cell>
          <cell r="F665" t="str">
            <v>2008-41-5</v>
          </cell>
        </row>
        <row r="666">
          <cell r="E666" t="str">
            <v>Benzo(a)anthracene</v>
          </cell>
          <cell r="F666" t="str">
            <v>56-55-3</v>
          </cell>
        </row>
        <row r="667">
          <cell r="E667" t="str">
            <v>Benzoic acid</v>
          </cell>
          <cell r="F667" t="str">
            <v>65-85-0</v>
          </cell>
        </row>
        <row r="668">
          <cell r="E668" t="str">
            <v>Benzaldehyde</v>
          </cell>
          <cell r="F668" t="str">
            <v>100-52-7</v>
          </cell>
        </row>
        <row r="669">
          <cell r="E669" t="str">
            <v>Benzo(a)pyrene</v>
          </cell>
          <cell r="F669" t="str">
            <v>50-32-8</v>
          </cell>
        </row>
        <row r="670">
          <cell r="E670" t="str">
            <v>Benzo(b)fluoranthene</v>
          </cell>
          <cell r="F670" t="str">
            <v>205-99-2</v>
          </cell>
        </row>
        <row r="671">
          <cell r="E671" t="str">
            <v>Benzidine</v>
          </cell>
          <cell r="F671" t="str">
            <v>92-87-5</v>
          </cell>
        </row>
        <row r="672">
          <cell r="E672" t="str">
            <v>Benzo(e)pyrene</v>
          </cell>
          <cell r="F672" t="str">
            <v>192-97-2</v>
          </cell>
        </row>
        <row r="673">
          <cell r="E673" t="str">
            <v>Benzo(g,h,i)perylene</v>
          </cell>
          <cell r="F673" t="str">
            <v>191-24-2</v>
          </cell>
        </row>
        <row r="674">
          <cell r="E674" t="str">
            <v>Benzo(j)fluoranthene</v>
          </cell>
          <cell r="F674" t="str">
            <v>205-82-3</v>
          </cell>
        </row>
        <row r="675">
          <cell r="E675" t="str">
            <v>Benzo(k)fluoranthene</v>
          </cell>
          <cell r="F675" t="str">
            <v>207-08-9</v>
          </cell>
        </row>
        <row r="676">
          <cell r="E676" t="str">
            <v>Benzyl alcohol</v>
          </cell>
          <cell r="F676" t="str">
            <v>100-51-6</v>
          </cell>
        </row>
        <row r="677">
          <cell r="E677" t="str">
            <v>Carbon-14</v>
          </cell>
          <cell r="F677" t="str">
            <v>14762-75-5</v>
          </cell>
        </row>
        <row r="678">
          <cell r="E678" t="str">
            <v>cis-2-Butene</v>
          </cell>
          <cell r="F678" t="str">
            <v>590-18-1</v>
          </cell>
        </row>
        <row r="679">
          <cell r="E679" t="str">
            <v>4-Chloro-3-methylphenol</v>
          </cell>
          <cell r="F679" t="str">
            <v>59-50-7</v>
          </cell>
        </row>
        <row r="680">
          <cell r="E680" t="str">
            <v>Calcium</v>
          </cell>
          <cell r="F680" t="str">
            <v>7440-70-2</v>
          </cell>
        </row>
        <row r="681">
          <cell r="E681" t="str">
            <v>Chloroacetic acid</v>
          </cell>
          <cell r="F681" t="str">
            <v>79-11-8</v>
          </cell>
        </row>
        <row r="682">
          <cell r="E682" t="str">
            <v>Carbonate as CaCO3</v>
          </cell>
          <cell r="F682" t="str">
            <v>471-34-1</v>
          </cell>
        </row>
        <row r="683">
          <cell r="E683" t="str">
            <v>Caprolactam</v>
          </cell>
          <cell r="F683" t="str">
            <v>105-60-2</v>
          </cell>
        </row>
        <row r="684">
          <cell r="E684" t="str">
            <v>Captafol</v>
          </cell>
          <cell r="F684" t="str">
            <v>2425-06-1</v>
          </cell>
        </row>
        <row r="685">
          <cell r="E685" t="str">
            <v>Captan</v>
          </cell>
          <cell r="F685" t="str">
            <v>133-06-2</v>
          </cell>
        </row>
        <row r="686">
          <cell r="E686" t="str">
            <v>Carbazole</v>
          </cell>
          <cell r="F686" t="str">
            <v>86-74-8</v>
          </cell>
        </row>
        <row r="687">
          <cell r="E687" t="str">
            <v>Carboxin</v>
          </cell>
          <cell r="F687" t="str">
            <v>5234-68-4</v>
          </cell>
        </row>
        <row r="688">
          <cell r="E688" t="str">
            <v>Carbon disulfide</v>
          </cell>
          <cell r="F688" t="str">
            <v>75-15-0</v>
          </cell>
        </row>
        <row r="689">
          <cell r="E689" t="str">
            <v>2-Chloroethyl vinyl ether</v>
          </cell>
          <cell r="F689" t="str">
            <v>110-75-8</v>
          </cell>
        </row>
        <row r="690">
          <cell r="E690" t="str">
            <v>alpha-Chlordane</v>
          </cell>
          <cell r="F690" t="str">
            <v>5103-71-9</v>
          </cell>
        </row>
        <row r="691">
          <cell r="E691" t="str">
            <v>Chlordane, Total</v>
          </cell>
          <cell r="F691" t="str">
            <v>12789-03-6</v>
          </cell>
        </row>
        <row r="692">
          <cell r="E692" t="str">
            <v>Chloroxuron</v>
          </cell>
          <cell r="F692" t="str">
            <v>1982-47-4</v>
          </cell>
        </row>
        <row r="693">
          <cell r="E693" t="str">
            <v>Asbestos, Chrysotile</v>
          </cell>
          <cell r="F693" t="str">
            <v>12001-29-5</v>
          </cell>
        </row>
        <row r="694">
          <cell r="E694" t="str">
            <v>Chloride</v>
          </cell>
          <cell r="F694" t="str">
            <v>16887-00-6</v>
          </cell>
        </row>
        <row r="695">
          <cell r="E695" t="str">
            <v>Chloroacetonitrile</v>
          </cell>
          <cell r="F695" t="str">
            <v>107-14-2</v>
          </cell>
        </row>
        <row r="696">
          <cell r="E696" t="str">
            <v>Chloramben</v>
          </cell>
          <cell r="F696" t="str">
            <v>133-90-4</v>
          </cell>
        </row>
        <row r="697">
          <cell r="E697" t="str">
            <v>Chlorobenzene</v>
          </cell>
          <cell r="F697" t="str">
            <v>108-90-7</v>
          </cell>
        </row>
        <row r="698">
          <cell r="E698" t="str">
            <v>Chlorobenzene-d5</v>
          </cell>
          <cell r="F698" t="str">
            <v>3114-55-4</v>
          </cell>
        </row>
        <row r="699">
          <cell r="E699" t="str">
            <v>Chlorobenzilate</v>
          </cell>
          <cell r="F699" t="str">
            <v>510-15-6</v>
          </cell>
        </row>
        <row r="700">
          <cell r="E700" t="str">
            <v>2-Chlorotoluene</v>
          </cell>
          <cell r="F700" t="str">
            <v>95-49-8</v>
          </cell>
        </row>
        <row r="701">
          <cell r="E701" t="str">
            <v>4-Chlorotoluene</v>
          </cell>
          <cell r="F701" t="str">
            <v>106-43-4</v>
          </cell>
        </row>
        <row r="702">
          <cell r="E702" t="str">
            <v>Chloroethane</v>
          </cell>
          <cell r="F702" t="str">
            <v>75-00-3</v>
          </cell>
        </row>
        <row r="703">
          <cell r="E703" t="str">
            <v>Allyl chloride</v>
          </cell>
          <cell r="F703" t="str">
            <v>107-05-1</v>
          </cell>
        </row>
        <row r="704">
          <cell r="E704" t="str">
            <v>2-Chlorophenol</v>
          </cell>
          <cell r="F704" t="str">
            <v>95-57-8</v>
          </cell>
        </row>
        <row r="705">
          <cell r="E705" t="str">
            <v>Amenable Cyanide</v>
          </cell>
          <cell r="F705" t="str">
            <v>57-12-5A</v>
          </cell>
        </row>
        <row r="706">
          <cell r="E706" t="str">
            <v>Cobalt-57</v>
          </cell>
          <cell r="F706" t="str">
            <v>13981-50-5</v>
          </cell>
        </row>
        <row r="707">
          <cell r="E707" t="str">
            <v>Cobalt-58</v>
          </cell>
          <cell r="F707" t="str">
            <v>13981-38-9</v>
          </cell>
        </row>
        <row r="708">
          <cell r="E708" t="str">
            <v>Cobalt-60</v>
          </cell>
          <cell r="F708" t="str">
            <v>10198-40-0</v>
          </cell>
        </row>
        <row r="709">
          <cell r="E709" t="str">
            <v>Chemical Oxygen Demand</v>
          </cell>
          <cell r="F709" t="str">
            <v>COD</v>
          </cell>
        </row>
        <row r="710">
          <cell r="E710" t="str">
            <v>Color</v>
          </cell>
          <cell r="F710" t="str">
            <v>COLOR</v>
          </cell>
        </row>
        <row r="711">
          <cell r="E711" t="str">
            <v>Corrosivity Toward Steel</v>
          </cell>
          <cell r="F711" t="str">
            <v>CORR</v>
          </cell>
        </row>
        <row r="712">
          <cell r="E712" t="str">
            <v>Carbonyl sulfide</v>
          </cell>
          <cell r="F712" t="str">
            <v>463-58-1</v>
          </cell>
        </row>
        <row r="713">
          <cell r="E713" t="str">
            <v>Coumaphos</v>
          </cell>
          <cell r="F713" t="str">
            <v>56-72-4</v>
          </cell>
        </row>
        <row r="714">
          <cell r="E714" t="str">
            <v>Asbestos, Crocidolite</v>
          </cell>
          <cell r="F714" t="str">
            <v>12001-28-4</v>
          </cell>
        </row>
        <row r="715">
          <cell r="E715" t="str">
            <v>Cesium-134</v>
          </cell>
          <cell r="F715" t="str">
            <v>13967-70-9</v>
          </cell>
        </row>
        <row r="716">
          <cell r="E716" t="str">
            <v>Cesium-137</v>
          </cell>
          <cell r="F716" t="str">
            <v>10045-97-3</v>
          </cell>
        </row>
        <row r="717">
          <cell r="E717" t="str">
            <v>Carbon tetrachloride</v>
          </cell>
          <cell r="F717" t="str">
            <v>56-23-5</v>
          </cell>
        </row>
        <row r="718">
          <cell r="E718" t="str">
            <v>Chlorotrifluoroethene</v>
          </cell>
          <cell r="F718" t="str">
            <v>79-38-9</v>
          </cell>
        </row>
        <row r="719">
          <cell r="E719" t="str">
            <v>Copper</v>
          </cell>
          <cell r="F719" t="str">
            <v>7440-50-8</v>
          </cell>
        </row>
        <row r="720">
          <cell r="E720" t="str">
            <v>Cycloate</v>
          </cell>
          <cell r="F720" t="str">
            <v>1134-23-2</v>
          </cell>
        </row>
        <row r="721">
          <cell r="E721" t="str">
            <v>Cyclohexanone</v>
          </cell>
          <cell r="F721" t="str">
            <v>108-94-1</v>
          </cell>
        </row>
        <row r="722">
          <cell r="E722" t="str">
            <v>Cyclohexanol</v>
          </cell>
          <cell r="F722" t="str">
            <v>108-93-0</v>
          </cell>
        </row>
        <row r="723">
          <cell r="E723" t="str">
            <v>DCPA (Dacthal)</v>
          </cell>
          <cell r="F723" t="str">
            <v>1861-32-1</v>
          </cell>
        </row>
        <row r="724">
          <cell r="E724" t="str">
            <v>Dibenzo(a,h)anthracene</v>
          </cell>
          <cell r="F724" t="str">
            <v>53-70-3</v>
          </cell>
        </row>
        <row r="725">
          <cell r="E725" t="str">
            <v>3,3'-Dichlorobenzidine</v>
          </cell>
          <cell r="F725" t="str">
            <v>91-94-1</v>
          </cell>
        </row>
        <row r="726">
          <cell r="E726" t="str">
            <v>cis-1,4-Dichloro-2-butene</v>
          </cell>
          <cell r="F726" t="str">
            <v>1476-11-5</v>
          </cell>
        </row>
        <row r="727">
          <cell r="E727" t="str">
            <v>2,5-Dichlorophenol</v>
          </cell>
          <cell r="F727" t="str">
            <v>583-78-8</v>
          </cell>
        </row>
        <row r="728">
          <cell r="E728" t="str">
            <v>2,2-Dichloropropane</v>
          </cell>
          <cell r="F728" t="str">
            <v>594-20-7</v>
          </cell>
        </row>
        <row r="729">
          <cell r="E729" t="str">
            <v>4,4'-DDD</v>
          </cell>
          <cell r="F729" t="str">
            <v>72-54-8</v>
          </cell>
        </row>
        <row r="730">
          <cell r="E730" t="str">
            <v>2,4'-DDE</v>
          </cell>
          <cell r="F730" t="str">
            <v>3424-82-6</v>
          </cell>
        </row>
        <row r="731">
          <cell r="E731" t="str">
            <v>4,4'-DDE</v>
          </cell>
          <cell r="F731" t="str">
            <v>72-55-9</v>
          </cell>
        </row>
        <row r="732">
          <cell r="E732" t="str">
            <v>2,4'-DDT</v>
          </cell>
          <cell r="F732" t="str">
            <v>789-02-6</v>
          </cell>
        </row>
        <row r="733">
          <cell r="E733" t="str">
            <v>4,4'-DDT</v>
          </cell>
          <cell r="F733" t="str">
            <v>50-29-3</v>
          </cell>
        </row>
        <row r="734">
          <cell r="E734" t="str">
            <v>Diethylamine</v>
          </cell>
          <cell r="F734" t="str">
            <v>109-89-7</v>
          </cell>
        </row>
        <row r="735">
          <cell r="E735" t="str">
            <v>Diethyl phthalate</v>
          </cell>
          <cell r="F735" t="str">
            <v>84-66-2</v>
          </cell>
        </row>
        <row r="736">
          <cell r="E736" t="str">
            <v>Diethylstilbestrol</v>
          </cell>
          <cell r="F736" t="str">
            <v>56-53-1</v>
          </cell>
        </row>
        <row r="737">
          <cell r="E737" t="str">
            <v>Dimethoate</v>
          </cell>
          <cell r="F737" t="str">
            <v>60-51-5</v>
          </cell>
        </row>
        <row r="738">
          <cell r="E738" t="str">
            <v>Dinoseb</v>
          </cell>
          <cell r="F738" t="str">
            <v>88-85-7</v>
          </cell>
        </row>
        <row r="739">
          <cell r="E739" t="str">
            <v>7,12-Dimethylbenz(a)anthracene</v>
          </cell>
          <cell r="F739" t="str">
            <v>57-97-6</v>
          </cell>
        </row>
        <row r="740">
          <cell r="E740" t="str">
            <v>2,5-Dimethyl benzaldehyde</v>
          </cell>
          <cell r="F740" t="str">
            <v>5779-94-2</v>
          </cell>
        </row>
        <row r="741">
          <cell r="E741" t="str">
            <v>Dimethoxymethane</v>
          </cell>
          <cell r="F741" t="str">
            <v>109-87-5</v>
          </cell>
        </row>
        <row r="742">
          <cell r="E742" t="str">
            <v>2,6-Dimethylphenol</v>
          </cell>
          <cell r="F742" t="str">
            <v>576-26-1</v>
          </cell>
        </row>
        <row r="743">
          <cell r="E743" t="str">
            <v>Dimethyl phthalate</v>
          </cell>
          <cell r="F743" t="str">
            <v>131-11-3</v>
          </cell>
        </row>
        <row r="744">
          <cell r="E744" t="str">
            <v>Dimethyl sulfide</v>
          </cell>
          <cell r="F744" t="str">
            <v>75-18-3</v>
          </cell>
        </row>
        <row r="745">
          <cell r="E745" t="str">
            <v>Di-n-octyl phthalate</v>
          </cell>
          <cell r="F745" t="str">
            <v>117-84-0</v>
          </cell>
        </row>
        <row r="746">
          <cell r="E746" t="str">
            <v>2,6-Dinitrotoluene</v>
          </cell>
          <cell r="F746" t="str">
            <v>606-20-2</v>
          </cell>
        </row>
        <row r="747">
          <cell r="E747" t="str">
            <v>Diphenylamine</v>
          </cell>
          <cell r="F747" t="str">
            <v>122-39-4</v>
          </cell>
        </row>
        <row r="748">
          <cell r="E748" t="str">
            <v>Diphenamide</v>
          </cell>
          <cell r="F748" t="str">
            <v>957-51-7</v>
          </cell>
        </row>
        <row r="749">
          <cell r="E749" t="str">
            <v>4-Ethyltoluene</v>
          </cell>
          <cell r="F749" t="str">
            <v>622-96-8</v>
          </cell>
        </row>
        <row r="750">
          <cell r="E750" t="str">
            <v>Diethyl ether</v>
          </cell>
          <cell r="F750" t="str">
            <v>60-29-7</v>
          </cell>
        </row>
        <row r="751">
          <cell r="E751" t="str">
            <v>1-Hexanol, 2-ethyl-</v>
          </cell>
          <cell r="F751" t="str">
            <v>104-76-7</v>
          </cell>
        </row>
        <row r="752">
          <cell r="E752" t="str">
            <v>Hexafluoro-2-propanol</v>
          </cell>
          <cell r="F752" t="str">
            <v>920-66-1</v>
          </cell>
        </row>
        <row r="753">
          <cell r="E753" t="str">
            <v>2-Hexanone</v>
          </cell>
          <cell r="F753" t="str">
            <v>591-78-6</v>
          </cell>
        </row>
        <row r="754">
          <cell r="E754" t="str">
            <v>5-Hydroxydicamba</v>
          </cell>
          <cell r="F754" t="str">
            <v>7600-50-2</v>
          </cell>
        </row>
        <row r="755">
          <cell r="E755" t="str">
            <v>6-Methylchrysene</v>
          </cell>
          <cell r="F755" t="str">
            <v>1705-85-7</v>
          </cell>
        </row>
        <row r="756">
          <cell r="E756" t="str">
            <v>4-Methylphenol (p-Cresol)</v>
          </cell>
          <cell r="F756" t="str">
            <v>106-44-5</v>
          </cell>
        </row>
        <row r="757">
          <cell r="E757" t="str">
            <v>a,a-Dimethylphenethylamine</v>
          </cell>
          <cell r="F757" t="str">
            <v>122-09-8</v>
          </cell>
        </row>
        <row r="758">
          <cell r="E758" t="str">
            <v>m-Phenylenediamine</v>
          </cell>
          <cell r="F758" t="str">
            <v>108-45-2</v>
          </cell>
        </row>
        <row r="759">
          <cell r="E759" t="str">
            <v>2,4-Diaminotoluene</v>
          </cell>
          <cell r="F759" t="str">
            <v>95-80-7</v>
          </cell>
        </row>
        <row r="760">
          <cell r="E760" t="str">
            <v>2-Methylnaphthalene</v>
          </cell>
          <cell r="F760" t="str">
            <v>91-57-6</v>
          </cell>
        </row>
        <row r="761">
          <cell r="E761" t="str">
            <v>3-Nitrotoluene</v>
          </cell>
          <cell r="F761" t="str">
            <v>99-08-1</v>
          </cell>
        </row>
        <row r="762">
          <cell r="E762" t="str">
            <v>Ammonia (un-ionized)</v>
          </cell>
          <cell r="F762" t="str">
            <v>7664-41-7</v>
          </cell>
        </row>
        <row r="763">
          <cell r="E763" t="str">
            <v>Ammonium as Nitrogen</v>
          </cell>
          <cell r="F763" t="str">
            <v>14798-03-9</v>
          </cell>
        </row>
        <row r="764">
          <cell r="E764" t="str">
            <v>N-N-Dimethylaniline</v>
          </cell>
          <cell r="F764" t="str">
            <v>121-69-7</v>
          </cell>
        </row>
        <row r="765">
          <cell r="E765" t="str">
            <v>N,N-Dimethylformamide</v>
          </cell>
          <cell r="F765" t="str">
            <v>68-12-2</v>
          </cell>
        </row>
        <row r="766">
          <cell r="E766" t="str">
            <v>Nonanal</v>
          </cell>
          <cell r="F766" t="str">
            <v>124-19-6</v>
          </cell>
        </row>
        <row r="767">
          <cell r="E767" t="str">
            <v>2-Nitropropane</v>
          </cell>
          <cell r="F767" t="str">
            <v>79-46-9</v>
          </cell>
        </row>
        <row r="768">
          <cell r="E768" t="str">
            <v>o-Phenylenediamine</v>
          </cell>
          <cell r="F768" t="str">
            <v>95-54-5</v>
          </cell>
        </row>
        <row r="769">
          <cell r="E769" t="str">
            <v>PCB-1016  (Aroclor 1016)</v>
          </cell>
          <cell r="F769" t="str">
            <v>12674-11-2</v>
          </cell>
        </row>
        <row r="770">
          <cell r="E770" t="str">
            <v>PCB-1221  (Aroclor 1221)</v>
          </cell>
          <cell r="F770" t="str">
            <v>11104-28-2</v>
          </cell>
        </row>
        <row r="771">
          <cell r="E771" t="str">
            <v>PCB-1232  (Aroclor 1232)</v>
          </cell>
          <cell r="F771" t="str">
            <v>11141-16-5</v>
          </cell>
        </row>
        <row r="772">
          <cell r="E772" t="str">
            <v>PCB-1242  (Aroclor 1242)</v>
          </cell>
          <cell r="F772" t="str">
            <v>53469-21-9</v>
          </cell>
        </row>
        <row r="773">
          <cell r="E773" t="str">
            <v>PCB-1248  (Aroclor 1248)</v>
          </cell>
          <cell r="F773" t="str">
            <v>12672-29-6</v>
          </cell>
        </row>
        <row r="774">
          <cell r="E774" t="str">
            <v>PCB-1254  (Aroclor 1254)</v>
          </cell>
          <cell r="F774" t="str">
            <v>11097-69-1</v>
          </cell>
        </row>
        <row r="775">
          <cell r="E775" t="str">
            <v>PCB-1260  (Aroclor 1260)</v>
          </cell>
          <cell r="F775" t="str">
            <v>11096-82-5</v>
          </cell>
        </row>
        <row r="776">
          <cell r="E776" t="str">
            <v>PCB-1262 (Aroclor 1262)</v>
          </cell>
          <cell r="F776" t="str">
            <v>37324-23-5</v>
          </cell>
        </row>
        <row r="777">
          <cell r="E777" t="str">
            <v>PCB-1268 (Aroclor 1268)</v>
          </cell>
          <cell r="F777" t="str">
            <v>11100-14-4</v>
          </cell>
        </row>
        <row r="778">
          <cell r="E778" t="str">
            <v>2,3,4,7,8-Pentachlorodibenzofuran</v>
          </cell>
          <cell r="F778" t="str">
            <v>57117-31-4</v>
          </cell>
        </row>
        <row r="779">
          <cell r="E779" t="str">
            <v>2,4,6-Tribromophenol</v>
          </cell>
          <cell r="F779" t="str">
            <v>118-79-6</v>
          </cell>
        </row>
        <row r="780">
          <cell r="E780" t="str">
            <v>2-Fluorophenol</v>
          </cell>
          <cell r="F780" t="str">
            <v>367-12-4</v>
          </cell>
        </row>
        <row r="781">
          <cell r="E781" t="str">
            <v>2-Fluorobiphenyl</v>
          </cell>
          <cell r="F781" t="str">
            <v>321-60-8</v>
          </cell>
        </row>
        <row r="782">
          <cell r="E782" t="str">
            <v>5,5-Diphenylhydantoin</v>
          </cell>
          <cell r="F782" t="str">
            <v>57-41-0</v>
          </cell>
        </row>
        <row r="783">
          <cell r="E783" t="str">
            <v>2-Bromo-1-chloropropane</v>
          </cell>
          <cell r="F783" t="str">
            <v>3017-95-6</v>
          </cell>
        </row>
        <row r="784">
          <cell r="E784" t="str">
            <v>n-Propanol</v>
          </cell>
          <cell r="F784" t="str">
            <v>71-23-8</v>
          </cell>
        </row>
        <row r="785">
          <cell r="E785" t="str">
            <v>Antimony</v>
          </cell>
          <cell r="F785" t="str">
            <v>7440-36-0</v>
          </cell>
        </row>
        <row r="786">
          <cell r="E786" t="str">
            <v>Antimony-124</v>
          </cell>
          <cell r="F786" t="str">
            <v>14683-10-4</v>
          </cell>
        </row>
        <row r="787">
          <cell r="E787" t="str">
            <v>Antimony-125</v>
          </cell>
          <cell r="F787" t="str">
            <v>14234-35-6</v>
          </cell>
        </row>
        <row r="788">
          <cell r="E788" t="str">
            <v>Carbaryl</v>
          </cell>
          <cell r="F788" t="str">
            <v>63-25-2</v>
          </cell>
        </row>
        <row r="789">
          <cell r="E789" t="str">
            <v>Bolstar (Sulprofos)</v>
          </cell>
          <cell r="F789" t="str">
            <v>35400-43-2</v>
          </cell>
        </row>
        <row r="790">
          <cell r="E790" t="str">
            <v>Bromoform</v>
          </cell>
          <cell r="F790" t="str">
            <v>75-25-2</v>
          </cell>
        </row>
        <row r="791">
          <cell r="E791" t="str">
            <v>2,3,7,8-Tetrachlorodibenzo-p-dioxin</v>
          </cell>
          <cell r="F791" t="str">
            <v>1746-01-6</v>
          </cell>
        </row>
        <row r="792">
          <cell r="E792" t="str">
            <v>2,3,7,8-Tetrachlorodibenzofuran</v>
          </cell>
          <cell r="F792" t="str">
            <v>51207-31-9</v>
          </cell>
        </row>
        <row r="793">
          <cell r="E793" t="str">
            <v>Chloroform</v>
          </cell>
          <cell r="F793" t="str">
            <v>67-66-3</v>
          </cell>
        </row>
        <row r="794">
          <cell r="E794" t="str">
            <v>2,4,6-Trichlorophenol</v>
          </cell>
          <cell r="F794" t="str">
            <v>88-06-2</v>
          </cell>
        </row>
        <row r="795">
          <cell r="E795" t="str">
            <v>5-Nitro-o-toluidine</v>
          </cell>
          <cell r="F795" t="str">
            <v>99-55-8</v>
          </cell>
        </row>
        <row r="796">
          <cell r="E796" t="str">
            <v>Total Chlorine</v>
          </cell>
          <cell r="F796" t="str">
            <v>7782-50-5</v>
          </cell>
        </row>
        <row r="797">
          <cell r="E797" t="str">
            <v>Asbestos, Tremolite</v>
          </cell>
          <cell r="F797" t="str">
            <v>77536-68-6</v>
          </cell>
        </row>
        <row r="798">
          <cell r="E798" t="str">
            <v>Chrysene</v>
          </cell>
          <cell r="F798" t="str">
            <v>218-01-9</v>
          </cell>
        </row>
        <row r="799">
          <cell r="E799" t="str">
            <v>cis-1,2-Dichloroethene</v>
          </cell>
          <cell r="F799" t="str">
            <v>156-59-2</v>
          </cell>
        </row>
        <row r="800">
          <cell r="E800" t="str">
            <v>Chlorpyrifos</v>
          </cell>
          <cell r="F800" t="str">
            <v>2921-88-2</v>
          </cell>
        </row>
        <row r="801">
          <cell r="E801" t="str">
            <v>Chromium III</v>
          </cell>
          <cell r="F801" t="str">
            <v>16065-83-1</v>
          </cell>
        </row>
        <row r="802">
          <cell r="E802" t="str">
            <v>Chromium, Hexavalent</v>
          </cell>
          <cell r="F802" t="str">
            <v>18540-29-9</v>
          </cell>
        </row>
        <row r="803">
          <cell r="E803" t="str">
            <v>Chromium-51</v>
          </cell>
          <cell r="F803" t="str">
            <v>14392-02-0</v>
          </cell>
        </row>
        <row r="804">
          <cell r="E804" t="str">
            <v>Chromium</v>
          </cell>
          <cell r="F804" t="str">
            <v>7440-47-3</v>
          </cell>
        </row>
        <row r="805">
          <cell r="E805" t="str">
            <v>cis-1,3-Dichloropropene</v>
          </cell>
          <cell r="F805" t="str">
            <v>10061-01-5</v>
          </cell>
        </row>
        <row r="806">
          <cell r="E806" t="str">
            <v>Chloropyrifos methyl</v>
          </cell>
          <cell r="F806" t="str">
            <v>5598-13-0</v>
          </cell>
        </row>
        <row r="807">
          <cell r="E807" t="str">
            <v>Beta, Gross</v>
          </cell>
          <cell r="F807" t="str">
            <v>12587-47-2</v>
          </cell>
        </row>
        <row r="808">
          <cell r="E808" t="str">
            <v>Alpha, Gross</v>
          </cell>
          <cell r="F808" t="str">
            <v>12587-46-1</v>
          </cell>
        </row>
        <row r="809">
          <cell r="E809" t="str">
            <v>Butane</v>
          </cell>
          <cell r="F809" t="str">
            <v>106-97-8</v>
          </cell>
        </row>
        <row r="810">
          <cell r="E810" t="str">
            <v>Bis(chloromethyl) ether</v>
          </cell>
          <cell r="F810" t="str">
            <v>542-88-1</v>
          </cell>
        </row>
        <row r="811">
          <cell r="E811" t="str">
            <v>2,4,5-T</v>
          </cell>
          <cell r="F811" t="str">
            <v>93-76-5</v>
          </cell>
        </row>
        <row r="812">
          <cell r="E812" t="str">
            <v>Total Extractable Petroleum Hydrocarbons (EPH)</v>
          </cell>
          <cell r="F812" t="str">
            <v>TPH-EXT</v>
          </cell>
        </row>
        <row r="813">
          <cell r="E813" t="str">
            <v>Dimethylamine</v>
          </cell>
          <cell r="F813" t="str">
            <v>124-40-3</v>
          </cell>
        </row>
        <row r="814">
          <cell r="E814" t="str">
            <v>Diethyl sulfate</v>
          </cell>
          <cell r="F814" t="str">
            <v>64-67-5</v>
          </cell>
        </row>
        <row r="815">
          <cell r="E815" t="str">
            <v>Diethyl sulfide</v>
          </cell>
          <cell r="F815" t="str">
            <v>352-93-2</v>
          </cell>
        </row>
        <row r="816">
          <cell r="E816" t="str">
            <v>Diethylene glycol</v>
          </cell>
          <cell r="F816" t="str">
            <v>111-46-6</v>
          </cell>
        </row>
        <row r="817">
          <cell r="E817" t="str">
            <v>Diazinon</v>
          </cell>
          <cell r="F817" t="str">
            <v>333-41-5</v>
          </cell>
        </row>
        <row r="818">
          <cell r="E818" t="str">
            <v>Dibenz(a,h)acridine</v>
          </cell>
          <cell r="F818" t="str">
            <v>226-36-8</v>
          </cell>
        </row>
        <row r="819">
          <cell r="E819" t="str">
            <v>Dibenz(a,j)acridine</v>
          </cell>
          <cell r="F819" t="str">
            <v>224-42-0</v>
          </cell>
        </row>
        <row r="820">
          <cell r="E820" t="str">
            <v>Dibenzo(a,e)pyrene</v>
          </cell>
          <cell r="F820" t="str">
            <v>192-65-4</v>
          </cell>
        </row>
        <row r="821">
          <cell r="E821" t="str">
            <v>Dibenzo(a,h)pyrene</v>
          </cell>
          <cell r="F821" t="str">
            <v>189-64-0</v>
          </cell>
        </row>
        <row r="822">
          <cell r="E822" t="str">
            <v>Dibenzo(a,i)pyrene</v>
          </cell>
          <cell r="F822" t="str">
            <v>189-55-9</v>
          </cell>
        </row>
        <row r="823">
          <cell r="E823" t="str">
            <v>Diallate (cis- or trans-)</v>
          </cell>
          <cell r="F823" t="str">
            <v>2303-16-4</v>
          </cell>
        </row>
        <row r="824">
          <cell r="E824" t="str">
            <v>Demeton-O</v>
          </cell>
          <cell r="F824" t="str">
            <v>298-03-3</v>
          </cell>
        </row>
        <row r="825">
          <cell r="E825" t="str">
            <v>Demeton-S</v>
          </cell>
          <cell r="F825" t="str">
            <v>126-75-0</v>
          </cell>
        </row>
        <row r="826">
          <cell r="E826" t="str">
            <v>delta-BHC</v>
          </cell>
          <cell r="F826" t="str">
            <v>319-86-8</v>
          </cell>
        </row>
        <row r="827">
          <cell r="E827" t="str">
            <v>Demeton, -O and -S</v>
          </cell>
          <cell r="F827" t="str">
            <v>8065-48-3</v>
          </cell>
        </row>
        <row r="828">
          <cell r="E828" t="str">
            <v>Decane</v>
          </cell>
          <cell r="F828" t="str">
            <v>124-18-5</v>
          </cell>
        </row>
        <row r="829">
          <cell r="E829" t="str">
            <v>Dalapon</v>
          </cell>
          <cell r="F829" t="str">
            <v>75-99-0</v>
          </cell>
        </row>
        <row r="830">
          <cell r="E830" t="str">
            <v>4-Isopropyltoluene</v>
          </cell>
          <cell r="F830" t="str">
            <v>25155-15-1</v>
          </cell>
        </row>
        <row r="831">
          <cell r="E831" t="str">
            <v>4-Chlorophenyl phenyl ether</v>
          </cell>
          <cell r="F831" t="str">
            <v>7005-72-3</v>
          </cell>
        </row>
        <row r="832">
          <cell r="E832" t="str">
            <v>Dinocap</v>
          </cell>
          <cell r="F832" t="str">
            <v>39300-45-3</v>
          </cell>
        </row>
        <row r="833">
          <cell r="E833" t="str">
            <v>Di-n-butyl phthalate</v>
          </cell>
          <cell r="F833" t="str">
            <v>84-74-2</v>
          </cell>
        </row>
        <row r="834">
          <cell r="E834" t="str">
            <v>Cyclohexane</v>
          </cell>
          <cell r="F834" t="str">
            <v>110-82-7</v>
          </cell>
        </row>
        <row r="835">
          <cell r="E835" t="str">
            <v>Cyanide</v>
          </cell>
          <cell r="F835" t="str">
            <v>57-12-5</v>
          </cell>
        </row>
        <row r="836">
          <cell r="E836" t="str">
            <v>Cresols (Methyl Phenols)</v>
          </cell>
          <cell r="F836" t="str">
            <v>1319-77-3</v>
          </cell>
        </row>
        <row r="837">
          <cell r="E837" t="str">
            <v>Cobalt</v>
          </cell>
          <cell r="F837" t="str">
            <v>7440-48-4</v>
          </cell>
        </row>
        <row r="838">
          <cell r="E838" t="str">
            <v>Chlordane</v>
          </cell>
          <cell r="F838" t="str">
            <v>57-74-9</v>
          </cell>
        </row>
        <row r="839">
          <cell r="E839" t="str">
            <v>Chlorate</v>
          </cell>
          <cell r="F839" t="str">
            <v>7790-93-4</v>
          </cell>
        </row>
        <row r="840">
          <cell r="E840" t="str">
            <v>Chlorfenvinphos</v>
          </cell>
          <cell r="F840" t="str">
            <v>470-90-6</v>
          </cell>
        </row>
        <row r="841">
          <cell r="E841" t="str">
            <v>Chlorotoluene</v>
          </cell>
          <cell r="F841" t="str">
            <v>25168-05-2</v>
          </cell>
        </row>
        <row r="842">
          <cell r="E842" t="str">
            <v>Chloropropham</v>
          </cell>
          <cell r="F842" t="str">
            <v>101-21-3</v>
          </cell>
        </row>
        <row r="843">
          <cell r="E843" t="str">
            <v>Chloromethyl methyl ether</v>
          </cell>
          <cell r="F843" t="str">
            <v>107-30-2</v>
          </cell>
        </row>
        <row r="844">
          <cell r="E844" t="str">
            <v>Chloromethane</v>
          </cell>
          <cell r="F844" t="str">
            <v>74-87-3</v>
          </cell>
        </row>
        <row r="845">
          <cell r="E845" t="str">
            <v>Carbonate Alkalinity as CACO3</v>
          </cell>
          <cell r="F845" t="str">
            <v>3812-32-6</v>
          </cell>
        </row>
        <row r="846">
          <cell r="E846" t="str">
            <v>Carbon dioxide</v>
          </cell>
          <cell r="F846" t="str">
            <v>124-38-9</v>
          </cell>
        </row>
        <row r="847">
          <cell r="E847" t="str">
            <v>Carbon monoxide</v>
          </cell>
          <cell r="F847" t="str">
            <v>630-08-0</v>
          </cell>
        </row>
        <row r="848">
          <cell r="E848" t="str">
            <v>Carbofuran</v>
          </cell>
          <cell r="F848" t="str">
            <v>1563-66-2</v>
          </cell>
        </row>
        <row r="849">
          <cell r="E849" t="str">
            <v>Cadmium</v>
          </cell>
          <cell r="F849" t="str">
            <v>7440-43-9</v>
          </cell>
        </row>
        <row r="850">
          <cell r="E850" t="str">
            <v>Butyl acetate</v>
          </cell>
          <cell r="F850" t="str">
            <v>123-86-4</v>
          </cell>
        </row>
        <row r="851">
          <cell r="E851" t="str">
            <v>Butyl acrylate</v>
          </cell>
          <cell r="F851" t="str">
            <v>141-32-2</v>
          </cell>
        </row>
        <row r="852">
          <cell r="E852" t="str">
            <v>Butylamine</v>
          </cell>
          <cell r="F852" t="str">
            <v>109-73-9</v>
          </cell>
        </row>
        <row r="853">
          <cell r="E853" t="str">
            <v>Bromobenzene</v>
          </cell>
          <cell r="F853" t="str">
            <v>108-86-1</v>
          </cell>
        </row>
        <row r="854">
          <cell r="E854" t="str">
            <v>Bromoacetone</v>
          </cell>
          <cell r="F854" t="str">
            <v>598-31-2</v>
          </cell>
        </row>
        <row r="855">
          <cell r="E855" t="str">
            <v>bis-(2-Chloroethoxy)methane</v>
          </cell>
          <cell r="F855" t="str">
            <v>111-91-1</v>
          </cell>
        </row>
        <row r="856">
          <cell r="E856" t="str">
            <v>bis-(2-Chloroethyl)ether</v>
          </cell>
          <cell r="F856" t="str">
            <v>111-44-4</v>
          </cell>
        </row>
        <row r="857">
          <cell r="E857" t="str">
            <v>bis-(2-Ethylhexyl)phthalate</v>
          </cell>
          <cell r="F857" t="str">
            <v>117-81-7</v>
          </cell>
        </row>
        <row r="858">
          <cell r="E858" t="str">
            <v>bis(2-Ethylhexyl)adipate</v>
          </cell>
          <cell r="F858" t="str">
            <v>103-23-1</v>
          </cell>
        </row>
        <row r="859">
          <cell r="E859" t="str">
            <v>Biologic Oxygen Demand</v>
          </cell>
          <cell r="F859" t="str">
            <v>BOD</v>
          </cell>
        </row>
        <row r="860">
          <cell r="E860" t="str">
            <v>Bicarbonate Alkalinity as CACO3</v>
          </cell>
          <cell r="F860" t="str">
            <v>71-52-3</v>
          </cell>
        </row>
        <row r="861">
          <cell r="E861" t="str">
            <v>Benzene</v>
          </cell>
          <cell r="F861" t="str">
            <v>71-43-2</v>
          </cell>
        </row>
        <row r="862">
          <cell r="E862" t="str">
            <v>alpha-Chlorotoluene</v>
          </cell>
          <cell r="F862" t="str">
            <v>100-44-7</v>
          </cell>
        </row>
        <row r="863">
          <cell r="E863" t="str">
            <v>Anthracene</v>
          </cell>
          <cell r="F863" t="str">
            <v>120-12-7</v>
          </cell>
        </row>
        <row r="864">
          <cell r="E864" t="str">
            <v>Asbestos, Anthophyllite</v>
          </cell>
          <cell r="F864" t="str">
            <v>77536-67-5</v>
          </cell>
        </row>
        <row r="865">
          <cell r="E865" t="str">
            <v>7H-Dibenzo(c,g)carbazole</v>
          </cell>
          <cell r="F865" t="str">
            <v>194-59-2</v>
          </cell>
        </row>
        <row r="866">
          <cell r="E866" t="str">
            <v>5-Nitro-o-anisidine</v>
          </cell>
          <cell r="F866" t="str">
            <v>99-59-2</v>
          </cell>
        </row>
        <row r="867">
          <cell r="E867" t="str">
            <v>5-Nitroacenaphthene</v>
          </cell>
          <cell r="F867" t="str">
            <v>602-87-9</v>
          </cell>
        </row>
        <row r="868">
          <cell r="E868" t="str">
            <v>4-Nitrotoluene</v>
          </cell>
          <cell r="F868" t="str">
            <v>99-99-0</v>
          </cell>
        </row>
        <row r="869">
          <cell r="E869" t="str">
            <v>4-Nitrophenol</v>
          </cell>
          <cell r="F869" t="str">
            <v>100-02-7</v>
          </cell>
        </row>
        <row r="870">
          <cell r="E870" t="str">
            <v>4-Nitroaniline</v>
          </cell>
          <cell r="F870" t="str">
            <v>100-01-6</v>
          </cell>
        </row>
        <row r="871">
          <cell r="E871" t="str">
            <v>4-Nitrobiphenyl</v>
          </cell>
          <cell r="F871" t="str">
            <v>92-93-3</v>
          </cell>
        </row>
        <row r="872">
          <cell r="E872" t="str">
            <v>4-Methyl-2-pentanone</v>
          </cell>
          <cell r="F872" t="str">
            <v>108-10-1</v>
          </cell>
        </row>
        <row r="873">
          <cell r="E873" t="str">
            <v>4-Chloroaniline</v>
          </cell>
          <cell r="F873" t="str">
            <v>106-47-8</v>
          </cell>
        </row>
        <row r="874">
          <cell r="E874" t="str">
            <v>4-Chloro-2-methylphenol</v>
          </cell>
          <cell r="F874" t="str">
            <v>1570-64-5</v>
          </cell>
        </row>
        <row r="875">
          <cell r="E875" t="str">
            <v>4-Bromophenyl phenyl ether</v>
          </cell>
          <cell r="F875" t="str">
            <v>101-55-3</v>
          </cell>
        </row>
        <row r="876">
          <cell r="E876" t="str">
            <v>4-Bromofluorobenzene</v>
          </cell>
          <cell r="F876" t="str">
            <v>460-00-4</v>
          </cell>
        </row>
        <row r="877">
          <cell r="E877" t="str">
            <v>4-Amino-2,6-dinitrotoluene</v>
          </cell>
          <cell r="F877" t="str">
            <v>19406-51-0</v>
          </cell>
        </row>
        <row r="878">
          <cell r="E878" t="str">
            <v>4,4'-Oxydianiline</v>
          </cell>
          <cell r="F878" t="str">
            <v>101-80-4</v>
          </cell>
        </row>
        <row r="879">
          <cell r="E879" t="str">
            <v>4,4'-Methylenebis(2-chloraniline)</v>
          </cell>
          <cell r="F879" t="str">
            <v>101-14-4</v>
          </cell>
        </row>
        <row r="880">
          <cell r="E880" t="str">
            <v>3-Methylphenol</v>
          </cell>
          <cell r="F880" t="str">
            <v>108-39-4</v>
          </cell>
        </row>
        <row r="881">
          <cell r="E881" t="str">
            <v>3-Nitroaniline</v>
          </cell>
          <cell r="F881" t="str">
            <v>99-09-2</v>
          </cell>
        </row>
        <row r="882">
          <cell r="E882" t="str">
            <v>3-Methylcholanthrene</v>
          </cell>
          <cell r="F882" t="str">
            <v>56-49-5</v>
          </cell>
        </row>
        <row r="883">
          <cell r="E883" t="str">
            <v>3-Hydroxycarbofuran</v>
          </cell>
          <cell r="F883" t="str">
            <v>16655-82-6</v>
          </cell>
        </row>
        <row r="884">
          <cell r="E884" t="str">
            <v>3-Chlorophenol</v>
          </cell>
          <cell r="F884" t="str">
            <v>108-43-0</v>
          </cell>
        </row>
        <row r="885">
          <cell r="E885" t="str">
            <v>3-Chloropropionitrile</v>
          </cell>
          <cell r="F885" t="str">
            <v>542-76-7</v>
          </cell>
        </row>
        <row r="886">
          <cell r="E886" t="str">
            <v>3,5-Dichlorobenzoic acid</v>
          </cell>
          <cell r="F886" t="str">
            <v>51-36-5</v>
          </cell>
        </row>
        <row r="887">
          <cell r="E887" t="str">
            <v>3,4-Dinitrotoluene</v>
          </cell>
          <cell r="F887" t="str">
            <v>610-39-9</v>
          </cell>
        </row>
        <row r="888">
          <cell r="E888" t="str">
            <v>3,4-Dichlorophenol</v>
          </cell>
          <cell r="F888" t="str">
            <v>95-77-2</v>
          </cell>
        </row>
        <row r="889">
          <cell r="E889" t="str">
            <v>3,4-Dimethylphenol</v>
          </cell>
          <cell r="F889" t="str">
            <v>95-65-8</v>
          </cell>
        </row>
        <row r="890">
          <cell r="E890" t="str">
            <v>3-Methylphenol/4-Methylphenol Coelution</v>
          </cell>
          <cell r="F890" t="str">
            <v>3METH4METH</v>
          </cell>
        </row>
        <row r="891">
          <cell r="E891" t="str">
            <v>3,5-Dichloroaniline</v>
          </cell>
          <cell r="F891" t="str">
            <v>618-87-1</v>
          </cell>
        </row>
        <row r="892">
          <cell r="E892" t="str">
            <v>2-Propanol</v>
          </cell>
          <cell r="F892" t="str">
            <v>67-63-0</v>
          </cell>
        </row>
        <row r="893">
          <cell r="E893" t="str">
            <v>2-Picoline</v>
          </cell>
          <cell r="F893" t="str">
            <v>109-06-8</v>
          </cell>
        </row>
        <row r="894">
          <cell r="E894" t="str">
            <v>2-Nitrophenol</v>
          </cell>
          <cell r="F894" t="str">
            <v>88-75-5</v>
          </cell>
        </row>
        <row r="895">
          <cell r="E895" t="str">
            <v>2-Nitrotoluene</v>
          </cell>
          <cell r="F895" t="str">
            <v>88-72-2</v>
          </cell>
        </row>
        <row r="896">
          <cell r="E896" t="str">
            <v>o-Nitrotoluene</v>
          </cell>
          <cell r="F896" t="str">
            <v>88-72-2</v>
          </cell>
        </row>
        <row r="897">
          <cell r="E897" t="str">
            <v>2-Nitroaniline</v>
          </cell>
          <cell r="F897" t="str">
            <v>88-74-4</v>
          </cell>
        </row>
        <row r="898">
          <cell r="E898" t="str">
            <v>2-Methylphenol (o-Cresol)</v>
          </cell>
          <cell r="F898" t="str">
            <v>95-48-7</v>
          </cell>
        </row>
        <row r="899">
          <cell r="E899" t="str">
            <v>2-Methylbutane</v>
          </cell>
          <cell r="F899" t="str">
            <v>78-78-4</v>
          </cell>
        </row>
        <row r="900">
          <cell r="E900" t="str">
            <v>2-Methoxyethanol</v>
          </cell>
          <cell r="F900" t="str">
            <v>109-86-4</v>
          </cell>
        </row>
        <row r="901">
          <cell r="E901" t="str">
            <v>2-Butanol</v>
          </cell>
          <cell r="F901" t="str">
            <v>78-92-2</v>
          </cell>
        </row>
        <row r="902">
          <cell r="E902" t="str">
            <v>2-Butanone</v>
          </cell>
          <cell r="F902" t="str">
            <v>78-93-3</v>
          </cell>
        </row>
        <row r="903">
          <cell r="E903" t="str">
            <v>2-Chloronaphthalene</v>
          </cell>
          <cell r="F903" t="str">
            <v>91-58-7</v>
          </cell>
        </row>
        <row r="904">
          <cell r="E904" t="str">
            <v>2,6-Dimethylnaphthalene</v>
          </cell>
          <cell r="F904" t="str">
            <v>581-42-0</v>
          </cell>
        </row>
        <row r="905">
          <cell r="E905" t="str">
            <v>2,4-Dinitrotoluene</v>
          </cell>
          <cell r="F905" t="str">
            <v>121-14-2</v>
          </cell>
        </row>
        <row r="906">
          <cell r="E906" t="str">
            <v>2,4-Dimethylphenol</v>
          </cell>
          <cell r="F906" t="str">
            <v>105-67-9</v>
          </cell>
        </row>
        <row r="907">
          <cell r="E907" t="str">
            <v>2,4-Dinitrophenol</v>
          </cell>
          <cell r="F907" t="str">
            <v>51-28-5</v>
          </cell>
        </row>
        <row r="908">
          <cell r="E908" t="str">
            <v>2,6-Dichlorophenol</v>
          </cell>
          <cell r="F908" t="str">
            <v>87-65-0</v>
          </cell>
        </row>
        <row r="909">
          <cell r="E909" t="str">
            <v>2,4-Dichlorophenol</v>
          </cell>
          <cell r="F909" t="str">
            <v>120-83-2</v>
          </cell>
        </row>
        <row r="910">
          <cell r="E910" t="str">
            <v>2,4-D</v>
          </cell>
          <cell r="F910" t="str">
            <v>94-75-7</v>
          </cell>
        </row>
        <row r="911">
          <cell r="E911" t="str">
            <v>2,4-DB</v>
          </cell>
          <cell r="F911" t="str">
            <v>94-82-6</v>
          </cell>
        </row>
        <row r="912">
          <cell r="E912" t="str">
            <v>2,4'-DDD</v>
          </cell>
          <cell r="F912" t="str">
            <v>53-19-0</v>
          </cell>
        </row>
        <row r="913">
          <cell r="E913" t="str">
            <v>2,4-Dichlorophenylacetic acid</v>
          </cell>
          <cell r="F913" t="str">
            <v>19719-28-9</v>
          </cell>
        </row>
        <row r="914">
          <cell r="E914" t="str">
            <v>2,4,5-Trimethylaniline</v>
          </cell>
          <cell r="F914" t="str">
            <v>137-17-7</v>
          </cell>
        </row>
        <row r="915">
          <cell r="E915" t="str">
            <v>2,4,5-Trichlorophenol</v>
          </cell>
          <cell r="F915" t="str">
            <v>95-95-4</v>
          </cell>
        </row>
        <row r="916">
          <cell r="E916" t="str">
            <v>2,3,4,6,7,8-Hexachlorodibenzofuran</v>
          </cell>
          <cell r="F916" t="str">
            <v>60851-34-5</v>
          </cell>
        </row>
        <row r="917">
          <cell r="E917" t="str">
            <v>2,3,3',4,4',5,5'-Heptachlorobiphenyl</v>
          </cell>
          <cell r="F917" t="str">
            <v>39635-31-9</v>
          </cell>
        </row>
        <row r="918">
          <cell r="E918" t="str">
            <v>2,3,3',4,4',5'-Hexachlorobiphenyl</v>
          </cell>
          <cell r="F918" t="str">
            <v>69782-90-7</v>
          </cell>
        </row>
        <row r="919">
          <cell r="E919" t="str">
            <v>2,3,3',4,4',5-Hexachlorobiphenyl</v>
          </cell>
          <cell r="F919" t="str">
            <v>38380-08-4</v>
          </cell>
        </row>
        <row r="920">
          <cell r="E920" t="str">
            <v>2,3,3',4,4',6-Hexachlorobiphenyl</v>
          </cell>
          <cell r="F920" t="str">
            <v>74472-42-7</v>
          </cell>
        </row>
        <row r="921">
          <cell r="E921" t="str">
            <v>2,3,3',4,4'-Pentachlorobiphenyl</v>
          </cell>
          <cell r="F921" t="str">
            <v>32598-14-4</v>
          </cell>
        </row>
        <row r="922">
          <cell r="E922" t="str">
            <v>2,3,3',4',6-Pentachlorobiphenyl</v>
          </cell>
          <cell r="F922" t="str">
            <v>38380-03-9</v>
          </cell>
        </row>
        <row r="923">
          <cell r="E923" t="str">
            <v>2,3,3',4'-Tetrachlorobiphenyl</v>
          </cell>
          <cell r="F923" t="str">
            <v>41464-43-1</v>
          </cell>
        </row>
        <row r="924">
          <cell r="E924" t="str">
            <v>2,3,3'-Trichlorobiphenyl</v>
          </cell>
          <cell r="F924" t="str">
            <v>38444-84-7</v>
          </cell>
        </row>
        <row r="925">
          <cell r="E925" t="str">
            <v>2,3',4,4',5,5'-Hexachlorobiphenyl</v>
          </cell>
          <cell r="F925" t="str">
            <v>52663-72-6</v>
          </cell>
        </row>
        <row r="926">
          <cell r="E926" t="str">
            <v>2,3,4,4',5,6-Hexachlorobiphenyl</v>
          </cell>
          <cell r="F926" t="str">
            <v>41411-63-6</v>
          </cell>
        </row>
        <row r="927">
          <cell r="E927" t="str">
            <v>2,3,4,4',5-Pentachlorobiphenyl</v>
          </cell>
          <cell r="F927" t="str">
            <v>74472-37-0</v>
          </cell>
        </row>
        <row r="928">
          <cell r="E928" t="str">
            <v>2',3,4,4',5-Pentachlorobiphenyl</v>
          </cell>
          <cell r="F928" t="str">
            <v>65510-44-3</v>
          </cell>
        </row>
        <row r="929">
          <cell r="E929" t="str">
            <v>2,3',4,4',5-Pentachlorobiphenyl</v>
          </cell>
          <cell r="F929" t="str">
            <v>31508-00-6</v>
          </cell>
        </row>
        <row r="930">
          <cell r="E930" t="str">
            <v>2,3,4,4'-Tetrachlorobiphenyl</v>
          </cell>
          <cell r="F930" t="str">
            <v>33025-41-1</v>
          </cell>
        </row>
        <row r="931">
          <cell r="E931" t="str">
            <v>2,3',4,4'-Tetrachlorobiphenyl</v>
          </cell>
          <cell r="F931" t="str">
            <v>32598-10-0</v>
          </cell>
        </row>
        <row r="932">
          <cell r="E932" t="str">
            <v>2,3',4',5-Tetrachlorobiphenyl</v>
          </cell>
          <cell r="F932" t="str">
            <v>32598-11-1</v>
          </cell>
        </row>
        <row r="933">
          <cell r="E933" t="str">
            <v>2,3,4-Trichlorobiphenyl</v>
          </cell>
          <cell r="F933" t="str">
            <v>55702-46-0</v>
          </cell>
        </row>
        <row r="934">
          <cell r="E934" t="str">
            <v>2',3,4-Trichlorobiphenyl</v>
          </cell>
          <cell r="F934" t="str">
            <v>38444-86-9</v>
          </cell>
        </row>
        <row r="935">
          <cell r="E935" t="str">
            <v>2,3',4-Trichlorobiphenyl</v>
          </cell>
          <cell r="F935" t="str">
            <v>55712-37-3</v>
          </cell>
        </row>
        <row r="936">
          <cell r="E936" t="str">
            <v>2,3,4'-Trichlorobiphenyl</v>
          </cell>
          <cell r="F936" t="str">
            <v>38444-85-8</v>
          </cell>
        </row>
        <row r="937">
          <cell r="E937" t="str">
            <v>2,3',5'-Trichlorobiphenyl</v>
          </cell>
          <cell r="F937" t="str">
            <v>37680-68-5</v>
          </cell>
        </row>
        <row r="938">
          <cell r="E938" t="str">
            <v>2,3',5-Trichlorobiphenyl</v>
          </cell>
          <cell r="F938" t="str">
            <v>38444-81-4</v>
          </cell>
        </row>
        <row r="939">
          <cell r="E939" t="str">
            <v>2,3,6-Trichlorobiphenyl</v>
          </cell>
          <cell r="F939" t="str">
            <v>55702-45-9</v>
          </cell>
        </row>
        <row r="940">
          <cell r="E940" t="str">
            <v>2,3',6-Trichlorobiphenyl</v>
          </cell>
          <cell r="F940" t="str">
            <v>38444-76-7</v>
          </cell>
        </row>
        <row r="941">
          <cell r="E941" t="str">
            <v>2,2',5-Trichlorobiphenyl</v>
          </cell>
          <cell r="F941" t="str">
            <v>37680-65-2</v>
          </cell>
        </row>
        <row r="942">
          <cell r="E942" t="str">
            <v>2,2',5,5'-Tetrachlorobiphenyl</v>
          </cell>
          <cell r="F942" t="str">
            <v>35693-99-3</v>
          </cell>
        </row>
        <row r="943">
          <cell r="E943" t="str">
            <v>2,2',4,5'-Tetrachlorobiphenyl</v>
          </cell>
          <cell r="F943" t="str">
            <v>41464-40-8</v>
          </cell>
        </row>
        <row r="944">
          <cell r="E944" t="str">
            <v>2,2',3,3',4,4',5,5',6-Nonachlorobiphenyl</v>
          </cell>
          <cell r="F944" t="str">
            <v>40186-72-9</v>
          </cell>
        </row>
        <row r="945">
          <cell r="E945" t="str">
            <v>2,2',3,3',4,4',5,5'-Octachlorobiphenyl</v>
          </cell>
          <cell r="F945" t="str">
            <v>35694-08-7</v>
          </cell>
        </row>
        <row r="946">
          <cell r="E946" t="str">
            <v>2,2',3,3',4,4',5,6-Octachlorobiphenyl</v>
          </cell>
          <cell r="F946" t="str">
            <v>52663-78-2</v>
          </cell>
        </row>
        <row r="947">
          <cell r="E947" t="str">
            <v>2,2',3,3',4,4',5-Heptachlorobiphenyl</v>
          </cell>
          <cell r="F947" t="str">
            <v>35065-30-6</v>
          </cell>
        </row>
        <row r="948">
          <cell r="E948" t="str">
            <v>2,2',3,3',4,4'-Hexachlorobiphenyl</v>
          </cell>
          <cell r="F948" t="str">
            <v>38380-07-3</v>
          </cell>
        </row>
        <row r="949">
          <cell r="E949" t="str">
            <v>2,2',3,3',4',5,6-Heptachlorobiphenyl</v>
          </cell>
          <cell r="F949" t="str">
            <v>52663-70-4</v>
          </cell>
        </row>
        <row r="950">
          <cell r="E950" t="str">
            <v>2,2',3,3',4,5,6'-Heptachlorobiphenyl</v>
          </cell>
          <cell r="F950" t="str">
            <v>38411-25-5</v>
          </cell>
        </row>
        <row r="951">
          <cell r="E951" t="str">
            <v>2,2',3,3',4,6'-Hexachlorobiphenyl</v>
          </cell>
          <cell r="F951" t="str">
            <v>38380-05-1</v>
          </cell>
        </row>
        <row r="952">
          <cell r="E952" t="str">
            <v>2,2',3,3'-Tetrachlorobiphenyl (PCB-40)</v>
          </cell>
          <cell r="F952" t="str">
            <v>38444-93-8</v>
          </cell>
        </row>
        <row r="953">
          <cell r="E953" t="str">
            <v>2,2',3,4,4',5,5',6-Octachlorobiphenyl</v>
          </cell>
          <cell r="F953" t="str">
            <v>52663-76-0</v>
          </cell>
        </row>
        <row r="954">
          <cell r="E954" t="str">
            <v>2,2',3,4,4',5,5'-Heptachlorobiphenyl</v>
          </cell>
          <cell r="F954" t="str">
            <v>35065-29-3</v>
          </cell>
        </row>
        <row r="955">
          <cell r="E955" t="str">
            <v>2,2',3,4,4',5',6-Heptachlorobiphenyl</v>
          </cell>
          <cell r="F955" t="str">
            <v>52663-69-1</v>
          </cell>
        </row>
        <row r="956">
          <cell r="E956" t="str">
            <v>2,2',3,4,4',5'-Hexachlorobiphenyl</v>
          </cell>
          <cell r="F956" t="str">
            <v>35065-28-2</v>
          </cell>
        </row>
        <row r="957">
          <cell r="E957" t="str">
            <v>2,2',3,4,4',6,6'-Heptachlorobiphenyl</v>
          </cell>
          <cell r="F957" t="str">
            <v>74472-48-3</v>
          </cell>
        </row>
        <row r="958">
          <cell r="E958" t="str">
            <v>2,2',3,4',5,5',6-Heptachlorobiphenyl</v>
          </cell>
          <cell r="F958" t="str">
            <v>52663-68-0</v>
          </cell>
        </row>
        <row r="959">
          <cell r="E959" t="str">
            <v>2,2',3,4,5,5'-Hexachlorobiphenyl</v>
          </cell>
          <cell r="F959" t="str">
            <v>52712-04-6</v>
          </cell>
        </row>
        <row r="960">
          <cell r="E960" t="str">
            <v>2,2',3,4',5',6-Hexachlorobiphenyl</v>
          </cell>
          <cell r="F960" t="str">
            <v>38380-04-0</v>
          </cell>
        </row>
        <row r="961">
          <cell r="E961" t="str">
            <v>2,2',3',4,5-Pentachlorobiphenyl</v>
          </cell>
          <cell r="F961" t="str">
            <v>41464-51-1</v>
          </cell>
        </row>
        <row r="962">
          <cell r="E962" t="str">
            <v>2,2',3,4',5-Pentachlorobiphenyl</v>
          </cell>
          <cell r="F962" t="str">
            <v>68194-07-0</v>
          </cell>
        </row>
        <row r="963">
          <cell r="E963" t="str">
            <v>2,2',3,4,5'-Pentachlorobiphenyl</v>
          </cell>
          <cell r="F963" t="str">
            <v>38380-02-8</v>
          </cell>
        </row>
        <row r="964">
          <cell r="E964" t="str">
            <v>2,2',3,5,5',6-Hexachlorobiphenyl</v>
          </cell>
          <cell r="F964" t="str">
            <v>52663-63-5</v>
          </cell>
        </row>
        <row r="965">
          <cell r="E965" t="str">
            <v>2,2',3,5',6-Pentachlorobiphenyl</v>
          </cell>
          <cell r="F965" t="str">
            <v>38379-99-6</v>
          </cell>
        </row>
        <row r="966">
          <cell r="E966" t="str">
            <v>2,2',3,5'-Tetrachlorobiphenyl</v>
          </cell>
          <cell r="F966" t="str">
            <v>41464-39-5</v>
          </cell>
        </row>
        <row r="967">
          <cell r="E967" t="str">
            <v>2,2',3-Trichlorobiphenyl</v>
          </cell>
          <cell r="F967" t="str">
            <v>38444-78-9</v>
          </cell>
        </row>
        <row r="968">
          <cell r="E968" t="str">
            <v>2,2',4,4',5,5'-Hexachlorobiphenyl</v>
          </cell>
          <cell r="F968" t="str">
            <v>35065-27-1</v>
          </cell>
        </row>
        <row r="969">
          <cell r="E969" t="str">
            <v>2,2',4,4',5-Pentachlorobiphenyl</v>
          </cell>
          <cell r="F969" t="str">
            <v>38380-01-7</v>
          </cell>
        </row>
        <row r="970">
          <cell r="E970" t="str">
            <v>2,2',4,5,5'-Pentachlorobiphenyl</v>
          </cell>
          <cell r="F970" t="str">
            <v>37680-73-2</v>
          </cell>
        </row>
        <row r="971">
          <cell r="E971" t="str">
            <v>2,4,4',5-Tetrachlorobiphenyl</v>
          </cell>
          <cell r="F971" t="str">
            <v>32690-93-0</v>
          </cell>
        </row>
        <row r="972">
          <cell r="E972" t="str">
            <v>2,4,4'-Trichlorobiphenyl</v>
          </cell>
          <cell r="F972" t="str">
            <v>7012-37-5</v>
          </cell>
        </row>
        <row r="973">
          <cell r="E973" t="str">
            <v>2,4,5-Trichlorobiphenyl</v>
          </cell>
          <cell r="F973" t="str">
            <v>15862-07-4</v>
          </cell>
        </row>
        <row r="974">
          <cell r="E974" t="str">
            <v>2,4',5-Trichlorobiphenyl</v>
          </cell>
          <cell r="F974" t="str">
            <v>16606-02-3</v>
          </cell>
        </row>
        <row r="975">
          <cell r="E975" t="str">
            <v>2,4,6-Trichlorobiphenyl</v>
          </cell>
          <cell r="F975" t="str">
            <v>35693-92-6</v>
          </cell>
        </row>
        <row r="976">
          <cell r="E976" t="str">
            <v>2,4',6-Trichlorobiphenyl</v>
          </cell>
          <cell r="F976" t="str">
            <v>38444-77-8</v>
          </cell>
        </row>
        <row r="977">
          <cell r="E977" t="str">
            <v>2,4'-Dichlorobiphenyl</v>
          </cell>
          <cell r="F977" t="str">
            <v>34883-43-7</v>
          </cell>
        </row>
        <row r="978">
          <cell r="E978" t="str">
            <v>2,4-Dichlorobiphenyl</v>
          </cell>
          <cell r="F978" t="str">
            <v>33284-50-3</v>
          </cell>
        </row>
        <row r="979">
          <cell r="E979" t="str">
            <v>2,5-Dichlorobiphenyl</v>
          </cell>
          <cell r="F979" t="str">
            <v>34883-39-1</v>
          </cell>
        </row>
        <row r="980">
          <cell r="E980" t="str">
            <v>2,6-Dichlorobiphenyl</v>
          </cell>
          <cell r="F980" t="str">
            <v>33146-45-1</v>
          </cell>
        </row>
        <row r="981">
          <cell r="E981" t="str">
            <v>3,3',4,4',5,5'-Hexachlorobiphenyl</v>
          </cell>
          <cell r="F981" t="str">
            <v>32774-16-6</v>
          </cell>
        </row>
        <row r="982">
          <cell r="E982" t="str">
            <v>3,3',4,4',5-Pentachlorobiphenyl</v>
          </cell>
          <cell r="F982" t="str">
            <v>57465-28-8</v>
          </cell>
        </row>
        <row r="983">
          <cell r="E983" t="str">
            <v>3,3',4,4'-Tetrachlorobiphenyl</v>
          </cell>
          <cell r="F983" t="str">
            <v>32598-13-3</v>
          </cell>
        </row>
        <row r="984">
          <cell r="E984" t="str">
            <v>3,3',4-Trichlorobiphenyl</v>
          </cell>
          <cell r="F984" t="str">
            <v>37680-69-6</v>
          </cell>
        </row>
        <row r="985">
          <cell r="E985" t="str">
            <v>3,3',5-Trichlorobiphenyl</v>
          </cell>
          <cell r="F985" t="str">
            <v>38444-87-0</v>
          </cell>
        </row>
        <row r="986">
          <cell r="E986" t="str">
            <v>3,3'-Dichlorobiphenyl</v>
          </cell>
          <cell r="F986" t="str">
            <v>2050-67-1</v>
          </cell>
        </row>
        <row r="987">
          <cell r="E987" t="str">
            <v>3,4,4',5-Tetrachlorobiphenyl</v>
          </cell>
          <cell r="F987" t="str">
            <v>70362-50-4</v>
          </cell>
        </row>
        <row r="988">
          <cell r="E988" t="str">
            <v>3,4,4'-Trichlorobiphenyl (PCB-37)</v>
          </cell>
          <cell r="F988" t="str">
            <v>38444-90-5</v>
          </cell>
        </row>
        <row r="989">
          <cell r="E989" t="str">
            <v>3,4,5-Trichlorobiphenyl (PCB-38)</v>
          </cell>
          <cell r="F989" t="str">
            <v>53555-66-1</v>
          </cell>
        </row>
        <row r="990">
          <cell r="E990" t="str">
            <v>3,4-Dichlorobiphenyl</v>
          </cell>
          <cell r="F990" t="str">
            <v>2974-92-7</v>
          </cell>
        </row>
        <row r="991">
          <cell r="E991" t="str">
            <v>4,4'-Dichlorobiphenyl</v>
          </cell>
          <cell r="F991" t="str">
            <v>2050-68-2</v>
          </cell>
        </row>
        <row r="992">
          <cell r="E992" t="str">
            <v>2,4,5,-Trichlorobiphenyl</v>
          </cell>
          <cell r="F992" t="str">
            <v>4841-20-7</v>
          </cell>
        </row>
        <row r="993">
          <cell r="E993" t="str">
            <v>2,2,4,4-Tetrachlorobiphenyl</v>
          </cell>
          <cell r="F993" t="str">
            <v>2437-79-8</v>
          </cell>
        </row>
        <row r="994">
          <cell r="E994" t="str">
            <v>2,2,4,4,5,6-Hexachlorobiphenyl</v>
          </cell>
          <cell r="F994" t="str">
            <v>60145-22-4</v>
          </cell>
        </row>
        <row r="995">
          <cell r="E995" t="str">
            <v>2,2,3,3,4,4,6-Heptachlorobiphenyl</v>
          </cell>
          <cell r="F995" t="str">
            <v>52663-71-5</v>
          </cell>
        </row>
        <row r="996">
          <cell r="E996" t="str">
            <v>2,2,3,3,4,5,6,6-Octachlorobiphenyl</v>
          </cell>
          <cell r="F996" t="str">
            <v>40186-71-8</v>
          </cell>
        </row>
        <row r="997">
          <cell r="E997" t="str">
            <v>2,2,3,4,6-Pentachlorobiphenyl</v>
          </cell>
          <cell r="F997" t="str">
            <v>68194-05-8</v>
          </cell>
        </row>
        <row r="998">
          <cell r="E998" t="str">
            <v>2,3-Dichlorobiphenyl</v>
          </cell>
          <cell r="F998" t="str">
            <v>16605-91-7</v>
          </cell>
        </row>
        <row r="999">
          <cell r="E999" t="str">
            <v>2,3'-Dichlorobiphenyl</v>
          </cell>
          <cell r="F999" t="str">
            <v>25569-80-6</v>
          </cell>
        </row>
        <row r="1000">
          <cell r="E1000" t="str">
            <v>3,5-Dichlorobiphenyl</v>
          </cell>
          <cell r="F1000" t="str">
            <v>34883-41-5</v>
          </cell>
        </row>
        <row r="1001">
          <cell r="E1001" t="str">
            <v>4-Chlorobiphenyl</v>
          </cell>
          <cell r="F1001" t="str">
            <v>2051-62-9</v>
          </cell>
        </row>
        <row r="1002">
          <cell r="E1002" t="str">
            <v>3-Chlorobiphenyl</v>
          </cell>
          <cell r="F1002" t="str">
            <v>2051-61-8</v>
          </cell>
        </row>
        <row r="1003">
          <cell r="E1003" t="str">
            <v>2-Chlorobiphenyl</v>
          </cell>
          <cell r="F1003" t="str">
            <v>2051-60-7</v>
          </cell>
        </row>
        <row r="1004">
          <cell r="E1004" t="str">
            <v>2,2'-Dichlorbiphenyl</v>
          </cell>
          <cell r="F1004" t="str">
            <v>13029-08-8</v>
          </cell>
        </row>
        <row r="1005">
          <cell r="E1005" t="str">
            <v>2,2',6-Trichlorobiphenyl</v>
          </cell>
          <cell r="F1005" t="str">
            <v>38444-73-4</v>
          </cell>
        </row>
        <row r="1006">
          <cell r="E1006" t="str">
            <v>2,2',4-Trichlorobiphenyl</v>
          </cell>
          <cell r="F1006" t="str">
            <v>37680-66-3</v>
          </cell>
        </row>
        <row r="1007">
          <cell r="E1007" t="str">
            <v>2,2',3,4-Tetrachlorobiphenyl</v>
          </cell>
          <cell r="F1007" t="str">
            <v>36559-22-5</v>
          </cell>
        </row>
        <row r="1008">
          <cell r="E1008" t="str">
            <v>3,4'-Dichlorobiphenyl</v>
          </cell>
          <cell r="F1008" t="str">
            <v>2974-90-5</v>
          </cell>
        </row>
        <row r="1009">
          <cell r="E1009" t="str">
            <v>3,4',5-Trichlorobiphenyl</v>
          </cell>
          <cell r="F1009" t="str">
            <v>38444-88-1</v>
          </cell>
        </row>
        <row r="1010">
          <cell r="E1010" t="str">
            <v>Decachlorobiphenyl</v>
          </cell>
          <cell r="F1010" t="str">
            <v>2051-24-3</v>
          </cell>
        </row>
        <row r="1011">
          <cell r="E1011" t="str">
            <v>Parathion methyl</v>
          </cell>
          <cell r="F1011" t="str">
            <v>298-00-0</v>
          </cell>
        </row>
        <row r="1012">
          <cell r="E1012" t="str">
            <v>Phenanthrene</v>
          </cell>
          <cell r="F1012" t="str">
            <v>85-01-8</v>
          </cell>
        </row>
        <row r="1013">
          <cell r="E1013" t="str">
            <v>Phenols, Chlorinated</v>
          </cell>
          <cell r="F1013" t="str">
            <v>1336-35-2</v>
          </cell>
        </row>
        <row r="1014">
          <cell r="E1014" t="str">
            <v>Phenols, Non-chlorinated</v>
          </cell>
          <cell r="F1014" t="str">
            <v>E749-63-0</v>
          </cell>
        </row>
        <row r="1015">
          <cell r="E1015" t="str">
            <v>Di-isopropyl ether (DIPE)</v>
          </cell>
          <cell r="F1015" t="str">
            <v>108-20-3</v>
          </cell>
        </row>
        <row r="1016">
          <cell r="E1016" t="str">
            <v>p-Nitrotoluene</v>
          </cell>
          <cell r="F1016" t="str">
            <v>108-38-3</v>
          </cell>
        </row>
        <row r="1017">
          <cell r="E1017" t="str">
            <v>Pirimphos-ethyl</v>
          </cell>
          <cell r="F1017" t="str">
            <v>23505-41-1</v>
          </cell>
        </row>
        <row r="1018">
          <cell r="E1018" t="str">
            <v>Picloram</v>
          </cell>
          <cell r="F1018" t="str">
            <v>1918-02-1</v>
          </cell>
        </row>
        <row r="1019">
          <cell r="E1019" t="str">
            <v>Osmium</v>
          </cell>
          <cell r="F1019" t="str">
            <v>7440-04-2</v>
          </cell>
        </row>
        <row r="1020">
          <cell r="E1020" t="str">
            <v>Hydrogen Sulfide</v>
          </cell>
          <cell r="F1020" t="str">
            <v>7783-06-4</v>
          </cell>
        </row>
        <row r="1021">
          <cell r="E1021" t="str">
            <v>1,4-Dinitrobenzene</v>
          </cell>
          <cell r="F1021" t="str">
            <v>100-25-4</v>
          </cell>
        </row>
        <row r="1022">
          <cell r="E1022" t="str">
            <v>Tritium (Hydrogen 3)</v>
          </cell>
          <cell r="F1022" t="str">
            <v>10028-17-8</v>
          </cell>
        </row>
        <row r="1023">
          <cell r="E1023" t="str">
            <v>Ethylbenzene</v>
          </cell>
          <cell r="F1023" t="str">
            <v>100-41-4</v>
          </cell>
        </row>
        <row r="1024">
          <cell r="E1024" t="str">
            <v>Iodine-131</v>
          </cell>
          <cell r="F1024" t="str">
            <v>10043-66-0</v>
          </cell>
        </row>
        <row r="1025">
          <cell r="E1025" t="str">
            <v>trans-1,3-Dichloropropene</v>
          </cell>
          <cell r="F1025" t="str">
            <v>10061-02-6</v>
          </cell>
        </row>
        <row r="1026">
          <cell r="E1026" t="str">
            <v>n-Nitrosopiperidine</v>
          </cell>
          <cell r="F1026" t="str">
            <v>100-75-4</v>
          </cell>
        </row>
        <row r="1027">
          <cell r="E1027" t="str">
            <v>n-Butylbenzene</v>
          </cell>
          <cell r="F1027" t="str">
            <v>104-51-8</v>
          </cell>
        </row>
        <row r="1028">
          <cell r="E1028" t="str">
            <v>n-Nitrosomethylethylamine</v>
          </cell>
          <cell r="F1028" t="str">
            <v>10595-95-6</v>
          </cell>
        </row>
        <row r="1029">
          <cell r="E1029" t="str">
            <v>1,4-Dichlorobenzene</v>
          </cell>
          <cell r="F1029" t="str">
            <v>106-46-7</v>
          </cell>
        </row>
        <row r="1030">
          <cell r="E1030" t="str">
            <v>p-Benzoquinone</v>
          </cell>
          <cell r="F1030" t="str">
            <v>106-51-4</v>
          </cell>
        </row>
        <row r="1031">
          <cell r="E1031" t="str">
            <v>1,2-Epoxybutane</v>
          </cell>
          <cell r="F1031" t="str">
            <v>106-88-7</v>
          </cell>
        </row>
        <row r="1032">
          <cell r="E1032" t="str">
            <v>1,2-Dibromoethane</v>
          </cell>
          <cell r="F1032" t="str">
            <v>106-93-4</v>
          </cell>
        </row>
        <row r="1033">
          <cell r="E1033" t="str">
            <v>1,3-Butadiene</v>
          </cell>
          <cell r="F1033" t="str">
            <v>106-99-0</v>
          </cell>
        </row>
        <row r="1034">
          <cell r="E1034" t="str">
            <v>1-Bromo-2-chloroethane</v>
          </cell>
          <cell r="F1034" t="str">
            <v>107-04-0</v>
          </cell>
        </row>
        <row r="1035">
          <cell r="E1035" t="str">
            <v>1,2-Dichloroethane</v>
          </cell>
          <cell r="F1035" t="str">
            <v>107-06-2</v>
          </cell>
        </row>
        <row r="1036">
          <cell r="E1036" t="str">
            <v>Glyphosate</v>
          </cell>
          <cell r="F1036" t="str">
            <v>1071-83-6</v>
          </cell>
        </row>
        <row r="1037">
          <cell r="E1037" t="str">
            <v>Ethylene glycol</v>
          </cell>
          <cell r="F1037" t="str">
            <v>107-21-1</v>
          </cell>
        </row>
        <row r="1038">
          <cell r="E1038" t="str">
            <v>Vinyl acetate</v>
          </cell>
          <cell r="F1038" t="str">
            <v>108-05-4</v>
          </cell>
        </row>
        <row r="1039">
          <cell r="E1039" t="str">
            <v>Isopropyl Acetate</v>
          </cell>
          <cell r="F1039" t="str">
            <v>108-21-4</v>
          </cell>
        </row>
        <row r="1040">
          <cell r="E1040" t="str">
            <v>Resorcinol</v>
          </cell>
          <cell r="F1040" t="str">
            <v>108-46-3</v>
          </cell>
        </row>
        <row r="1041">
          <cell r="E1041" t="str">
            <v>1,3,5-Trimethylbenzene</v>
          </cell>
          <cell r="F1041" t="str">
            <v>108-67-8</v>
          </cell>
        </row>
        <row r="1042">
          <cell r="E1042" t="str">
            <v>1,3,5-Trichlorobenzene</v>
          </cell>
          <cell r="F1042" t="str">
            <v>108-70-3</v>
          </cell>
        </row>
        <row r="1043">
          <cell r="E1043" t="str">
            <v>Toluene</v>
          </cell>
          <cell r="F1043" t="str">
            <v>108-88-3</v>
          </cell>
        </row>
        <row r="1044">
          <cell r="E1044" t="str">
            <v>Phenol</v>
          </cell>
          <cell r="F1044" t="str">
            <v>108-95-2</v>
          </cell>
        </row>
        <row r="1045">
          <cell r="E1045" t="str">
            <v>Pentanoic Acid</v>
          </cell>
          <cell r="F1045" t="str">
            <v>109-52-4</v>
          </cell>
        </row>
        <row r="1046">
          <cell r="E1046" t="str">
            <v>n-Propyl Acetate</v>
          </cell>
          <cell r="F1046" t="str">
            <v>109-60-4</v>
          </cell>
        </row>
        <row r="1047">
          <cell r="E1047" t="str">
            <v>Pentane</v>
          </cell>
          <cell r="F1047" t="str">
            <v>109-66-0</v>
          </cell>
        </row>
        <row r="1048">
          <cell r="E1048" t="str">
            <v>1-Pentene</v>
          </cell>
          <cell r="F1048" t="str">
            <v>109-67-1</v>
          </cell>
        </row>
        <row r="1049">
          <cell r="E1049" t="str">
            <v>Malononitrile</v>
          </cell>
          <cell r="F1049" t="str">
            <v>109-77-3</v>
          </cell>
        </row>
        <row r="1050">
          <cell r="E1050" t="str">
            <v>1,4-Dichlorobutane</v>
          </cell>
          <cell r="F1050" t="str">
            <v>110-56-5</v>
          </cell>
        </row>
        <row r="1051">
          <cell r="E1051" t="str">
            <v>trans-1,4-Dichloro-2-butene</v>
          </cell>
          <cell r="F1051" t="str">
            <v>110-57-6</v>
          </cell>
        </row>
        <row r="1052">
          <cell r="E1052" t="str">
            <v>Pentanal</v>
          </cell>
          <cell r="F1052" t="str">
            <v>110-62-3</v>
          </cell>
        </row>
        <row r="1053">
          <cell r="E1053" t="str">
            <v>1-Hexanol</v>
          </cell>
          <cell r="F1053" t="str">
            <v>111-27-3</v>
          </cell>
        </row>
        <row r="1054">
          <cell r="E1054" t="str">
            <v>Pebulate</v>
          </cell>
          <cell r="F1054" t="str">
            <v>1114-71-2</v>
          </cell>
        </row>
        <row r="1055">
          <cell r="E1055" t="str">
            <v>N-Nitrosodiethanolamine</v>
          </cell>
          <cell r="F1055" t="str">
            <v>1116-54-7</v>
          </cell>
        </row>
        <row r="1056">
          <cell r="E1056" t="str">
            <v>C8 as n-Octane</v>
          </cell>
          <cell r="F1056" t="str">
            <v>111-65-9</v>
          </cell>
        </row>
        <row r="1057">
          <cell r="E1057" t="str">
            <v>Nonane</v>
          </cell>
          <cell r="F1057" t="str">
            <v>111-84-2</v>
          </cell>
        </row>
        <row r="1058">
          <cell r="E1058" t="str">
            <v>Undecane</v>
          </cell>
          <cell r="F1058" t="str">
            <v>1120-21-4</v>
          </cell>
        </row>
        <row r="1059">
          <cell r="E1059" t="str">
            <v>Triethylene glycol</v>
          </cell>
          <cell r="F1059" t="str">
            <v>112-27-6</v>
          </cell>
        </row>
        <row r="1060">
          <cell r="E1060" t="str">
            <v>Triphenyl phosphate</v>
          </cell>
          <cell r="F1060" t="str">
            <v>115-86-6</v>
          </cell>
        </row>
        <row r="1061">
          <cell r="E1061" t="str">
            <v>Isosafrole</v>
          </cell>
          <cell r="F1061" t="str">
            <v>120-58-1</v>
          </cell>
        </row>
        <row r="1062">
          <cell r="E1062" t="str">
            <v>p-Cresidine</v>
          </cell>
          <cell r="F1062" t="str">
            <v>120-71-8</v>
          </cell>
        </row>
        <row r="1063">
          <cell r="E1063" t="str">
            <v>1,2,4-Trichlorobenzene</v>
          </cell>
          <cell r="F1063" t="str">
            <v>120-82-1</v>
          </cell>
        </row>
        <row r="1064">
          <cell r="E1064" t="str">
            <v>Zineb</v>
          </cell>
          <cell r="F1064" t="str">
            <v>12122-67-7</v>
          </cell>
        </row>
        <row r="1065">
          <cell r="E1065" t="str">
            <v>Triethylamine</v>
          </cell>
          <cell r="F1065" t="str">
            <v>121-44-8</v>
          </cell>
        </row>
        <row r="1066">
          <cell r="E1066" t="str">
            <v>Malathion</v>
          </cell>
          <cell r="F1066" t="str">
            <v>121-75-5</v>
          </cell>
        </row>
        <row r="1067">
          <cell r="E1067" t="str">
            <v>Hexahydro-1,3,5-trinitro-1,3,5-triazine</v>
          </cell>
          <cell r="F1067" t="str">
            <v>121-82-4</v>
          </cell>
        </row>
        <row r="1068">
          <cell r="E1068" t="str">
            <v>1,2-Diphenylhydrazine</v>
          </cell>
          <cell r="F1068" t="str">
            <v>122-66-7</v>
          </cell>
        </row>
        <row r="1069">
          <cell r="E1069" t="str">
            <v>Hydroquinone</v>
          </cell>
          <cell r="F1069" t="str">
            <v>123-31-9</v>
          </cell>
        </row>
        <row r="1070">
          <cell r="E1070" t="str">
            <v>Paraldehyde</v>
          </cell>
          <cell r="F1070" t="str">
            <v>123-63-7</v>
          </cell>
        </row>
        <row r="1071">
          <cell r="E1071" t="str">
            <v>1,4-Dioxane</v>
          </cell>
          <cell r="F1071" t="str">
            <v>123-91-1</v>
          </cell>
        </row>
        <row r="1072">
          <cell r="E1072" t="str">
            <v>Octanal</v>
          </cell>
          <cell r="F1072" t="str">
            <v>124-13-0</v>
          </cell>
        </row>
        <row r="1073">
          <cell r="E1073" t="str">
            <v>Maneb</v>
          </cell>
          <cell r="F1073" t="str">
            <v>12427-38-2</v>
          </cell>
        </row>
        <row r="1074">
          <cell r="E1074" t="str">
            <v>o,o,o-Triethyl phosphorothioate</v>
          </cell>
          <cell r="F1074" t="str">
            <v>126-68-1</v>
          </cell>
        </row>
        <row r="1075">
          <cell r="E1075" t="str">
            <v>Tris(2,3-dibromopropyl)phosphate</v>
          </cell>
          <cell r="F1075" t="str">
            <v>126-72-7</v>
          </cell>
        </row>
        <row r="1076">
          <cell r="E1076" t="str">
            <v>Tributyl phosphate</v>
          </cell>
          <cell r="F1076" t="str">
            <v>126-73-8</v>
          </cell>
        </row>
        <row r="1077">
          <cell r="E1077" t="str">
            <v>1,4-Naphthoquinone</v>
          </cell>
          <cell r="F1077" t="str">
            <v>130-15-4</v>
          </cell>
        </row>
        <row r="1078">
          <cell r="E1078" t="str">
            <v>Phenol-d6</v>
          </cell>
          <cell r="F1078" t="str">
            <v>13127-88-3</v>
          </cell>
        </row>
        <row r="1079">
          <cell r="E1079" t="str">
            <v>Phosphamidon</v>
          </cell>
          <cell r="F1079" t="str">
            <v>13171-21-6</v>
          </cell>
        </row>
        <row r="1080">
          <cell r="E1080" t="str">
            <v>Xylenes</v>
          </cell>
          <cell r="F1080" t="str">
            <v>1330-20-7</v>
          </cell>
        </row>
        <row r="1081">
          <cell r="E1081" t="str">
            <v>Hydrogen</v>
          </cell>
          <cell r="F1081" t="str">
            <v>1333-74-0</v>
          </cell>
        </row>
        <row r="1082">
          <cell r="E1082" t="str">
            <v>1-Naphthylamine</v>
          </cell>
          <cell r="F1082" t="str">
            <v>134-32-7</v>
          </cell>
        </row>
        <row r="1083">
          <cell r="E1083" t="str">
            <v>Ziram</v>
          </cell>
          <cell r="F1083" t="str">
            <v>137-30-4</v>
          </cell>
        </row>
        <row r="1084">
          <cell r="E1084" t="str">
            <v>Uranium-234</v>
          </cell>
          <cell r="F1084" t="str">
            <v>13966-29-5</v>
          </cell>
        </row>
        <row r="1085">
          <cell r="E1085" t="str">
            <v>Zinc-65</v>
          </cell>
          <cell r="F1085" t="str">
            <v>13982-39-3</v>
          </cell>
        </row>
        <row r="1086">
          <cell r="E1086" t="str">
            <v>Ethyl acetate</v>
          </cell>
          <cell r="F1086" t="str">
            <v>141-78-6</v>
          </cell>
        </row>
        <row r="1087">
          <cell r="E1087" t="str">
            <v>1,3-Dichloropropane</v>
          </cell>
          <cell r="F1087" t="str">
            <v>142-28-9</v>
          </cell>
        </row>
        <row r="1088">
          <cell r="E1088" t="str">
            <v>Lead-210</v>
          </cell>
          <cell r="F1088" t="str">
            <v>14255-04-0</v>
          </cell>
        </row>
        <row r="1089">
          <cell r="E1089" t="str">
            <v>Phosphate, Total ( as P)</v>
          </cell>
          <cell r="F1089" t="str">
            <v>14265-44-2</v>
          </cell>
        </row>
        <row r="1090">
          <cell r="E1090" t="str">
            <v>Kepone</v>
          </cell>
          <cell r="F1090" t="str">
            <v>143-50-0</v>
          </cell>
        </row>
        <row r="1091">
          <cell r="E1091" t="str">
            <v>Nitrate</v>
          </cell>
          <cell r="F1091" t="str">
            <v>14797-55-8</v>
          </cell>
        </row>
        <row r="1092">
          <cell r="E1092" t="str">
            <v>Nitrite</v>
          </cell>
          <cell r="F1092" t="str">
            <v>14797-65-0</v>
          </cell>
        </row>
        <row r="1093">
          <cell r="E1093" t="str">
            <v>Perchlorate</v>
          </cell>
          <cell r="F1093" t="str">
            <v>14797-73-0</v>
          </cell>
        </row>
        <row r="1094">
          <cell r="E1094" t="str">
            <v>Merphos</v>
          </cell>
          <cell r="F1094" t="str">
            <v>150-50-5</v>
          </cell>
        </row>
        <row r="1095">
          <cell r="E1095" t="str">
            <v>Lead-214</v>
          </cell>
          <cell r="F1095" t="str">
            <v>15067-28-4</v>
          </cell>
        </row>
        <row r="1096">
          <cell r="E1096" t="str">
            <v>Monuron</v>
          </cell>
          <cell r="F1096" t="str">
            <v>150-68-5</v>
          </cell>
        </row>
        <row r="1097">
          <cell r="E1097" t="str">
            <v>Lead-212</v>
          </cell>
          <cell r="F1097" t="str">
            <v>15092-94-1</v>
          </cell>
        </row>
        <row r="1098">
          <cell r="E1098" t="str">
            <v>Uranium-235</v>
          </cell>
          <cell r="F1098" t="str">
            <v>15117-96-1</v>
          </cell>
        </row>
        <row r="1099">
          <cell r="E1099" t="str">
            <v>Napropamide</v>
          </cell>
          <cell r="F1099" t="str">
            <v>15299-99-7</v>
          </cell>
        </row>
        <row r="1100">
          <cell r="E1100" t="str">
            <v>trans-1,2-Dichloroethene</v>
          </cell>
          <cell r="F1100" t="str">
            <v>156-60-5</v>
          </cell>
        </row>
        <row r="1101">
          <cell r="E1101" t="str">
            <v>Trifluralin</v>
          </cell>
          <cell r="F1101" t="str">
            <v>1582-09-8</v>
          </cell>
        </row>
        <row r="1102">
          <cell r="E1102" t="str">
            <v>1,4-Oxathiane</v>
          </cell>
          <cell r="F1102" t="str">
            <v>15980-15-1</v>
          </cell>
        </row>
        <row r="1103">
          <cell r="E1103" t="str">
            <v>Methyl-tert-butyl ether (MTBE)</v>
          </cell>
          <cell r="F1103" t="str">
            <v>1634-04-4</v>
          </cell>
        </row>
        <row r="1104">
          <cell r="E1104" t="str">
            <v>Methomyl</v>
          </cell>
          <cell r="F1104" t="str">
            <v>16752-77-5</v>
          </cell>
        </row>
        <row r="1105">
          <cell r="E1105" t="str">
            <v>1,2-Dichloroethane-d4</v>
          </cell>
          <cell r="F1105" t="str">
            <v>17060-07-0</v>
          </cell>
        </row>
        <row r="1106">
          <cell r="E1106" t="str">
            <v>1,4-Dioxane-d8</v>
          </cell>
          <cell r="F1106" t="str">
            <v>17647-74-4</v>
          </cell>
        </row>
        <row r="1107">
          <cell r="E1107" t="str">
            <v>Oryzalin</v>
          </cell>
          <cell r="F1107" t="str">
            <v>19044-88-3</v>
          </cell>
        </row>
        <row r="1108">
          <cell r="E1108" t="str">
            <v>Paraquat</v>
          </cell>
          <cell r="F1108" t="str">
            <v>1910-42-5</v>
          </cell>
        </row>
        <row r="1109">
          <cell r="E1109" t="str">
            <v>Indeno(1,2,3-cd)pyrene</v>
          </cell>
          <cell r="F1109" t="str">
            <v>193-39-5</v>
          </cell>
        </row>
        <row r="1110">
          <cell r="E1110" t="str">
            <v>1,2,3,7,8,9-Hexachlorodibenzo-p-dioxin</v>
          </cell>
          <cell r="F1110" t="str">
            <v>19408-74-3</v>
          </cell>
        </row>
        <row r="1111">
          <cell r="E1111" t="str">
            <v>Perylene</v>
          </cell>
          <cell r="F1111" t="str">
            <v>198-55-0</v>
          </cell>
        </row>
        <row r="1112">
          <cell r="E1112" t="str">
            <v>Methiocarb</v>
          </cell>
          <cell r="F1112" t="str">
            <v>2032-65-7</v>
          </cell>
        </row>
        <row r="1113">
          <cell r="E1113" t="str">
            <v>Toluene-d8</v>
          </cell>
          <cell r="F1113" t="str">
            <v>2037-26-5</v>
          </cell>
        </row>
        <row r="1114">
          <cell r="E1114" t="str">
            <v>Iodide (as I)</v>
          </cell>
          <cell r="F1114" t="str">
            <v>20461-54-5</v>
          </cell>
        </row>
        <row r="1115">
          <cell r="E1115" t="str">
            <v>Metribuzin</v>
          </cell>
          <cell r="F1115" t="str">
            <v>21087-64-9</v>
          </cell>
        </row>
        <row r="1116">
          <cell r="E1116" t="str">
            <v>Molinate</v>
          </cell>
          <cell r="F1116" t="str">
            <v>2212-67-1</v>
          </cell>
        </row>
        <row r="1117">
          <cell r="E1117" t="str">
            <v>Methyl mercury</v>
          </cell>
          <cell r="F1117" t="str">
            <v>22967-92-6</v>
          </cell>
        </row>
        <row r="1118">
          <cell r="E1118" t="str">
            <v>Triallate</v>
          </cell>
          <cell r="F1118" t="str">
            <v>2303-17-5</v>
          </cell>
        </row>
        <row r="1119">
          <cell r="E1119" t="str">
            <v>Phosalone</v>
          </cell>
          <cell r="F1119" t="str">
            <v>2310-17-0</v>
          </cell>
        </row>
        <row r="1120">
          <cell r="E1120" t="str">
            <v>Oxamyl</v>
          </cell>
          <cell r="F1120" t="str">
            <v>23135-22-0</v>
          </cell>
        </row>
        <row r="1121">
          <cell r="E1121" t="str">
            <v>Mirex</v>
          </cell>
          <cell r="F1121" t="str">
            <v>2385-85-5</v>
          </cell>
        </row>
        <row r="1122">
          <cell r="E1122" t="str">
            <v>Isofenphos</v>
          </cell>
          <cell r="F1122" t="str">
            <v>25311-71-1</v>
          </cell>
        </row>
        <row r="1123">
          <cell r="E1123" t="str">
            <v>Trichlorobiphenyl</v>
          </cell>
          <cell r="F1123" t="str">
            <v>25323-68-6</v>
          </cell>
        </row>
        <row r="1124">
          <cell r="E1124" t="str">
            <v>Trichloropropane</v>
          </cell>
          <cell r="F1124" t="str">
            <v>25735-29-9</v>
          </cell>
        </row>
        <row r="1125">
          <cell r="E1125" t="str">
            <v>Toluene diisocyanate</v>
          </cell>
          <cell r="F1125" t="str">
            <v>26471-62-5</v>
          </cell>
        </row>
        <row r="1126">
          <cell r="E1126" t="str">
            <v>Octahydro-1,3,5,7-tetranitro-1,3,5,7-tetrazocine</v>
          </cell>
          <cell r="F1126" t="str">
            <v>2691-41-0</v>
          </cell>
        </row>
        <row r="1127">
          <cell r="E1127" t="str">
            <v>Oxychlordane</v>
          </cell>
          <cell r="F1127" t="str">
            <v>27304-13-8</v>
          </cell>
        </row>
        <row r="1128">
          <cell r="E1128" t="str">
            <v>Norflurazon</v>
          </cell>
          <cell r="F1128" t="str">
            <v>27314-13-2</v>
          </cell>
        </row>
        <row r="1129">
          <cell r="E1129" t="str">
            <v>Monochlorobiphenyl</v>
          </cell>
          <cell r="F1129" t="str">
            <v>27323-18-8</v>
          </cell>
        </row>
        <row r="1130">
          <cell r="E1130" t="str">
            <v>Phorate</v>
          </cell>
          <cell r="F1130" t="str">
            <v>298-02-2</v>
          </cell>
        </row>
        <row r="1131">
          <cell r="E1131" t="str">
            <v>Naled</v>
          </cell>
          <cell r="F1131" t="str">
            <v>300-76-5</v>
          </cell>
        </row>
        <row r="1132">
          <cell r="E1132" t="str">
            <v>Hydrazine</v>
          </cell>
          <cell r="F1132" t="str">
            <v>302-01-2</v>
          </cell>
        </row>
        <row r="1133">
          <cell r="E1133" t="str">
            <v>Mexacarbate</v>
          </cell>
          <cell r="F1133" t="str">
            <v>315-18-4</v>
          </cell>
        </row>
        <row r="1134">
          <cell r="E1134" t="str">
            <v>Trichloronate</v>
          </cell>
          <cell r="F1134" t="str">
            <v>327-98-0</v>
          </cell>
        </row>
        <row r="1135">
          <cell r="E1135" t="str">
            <v>Linuron</v>
          </cell>
          <cell r="F1135" t="str">
            <v>330-55-2</v>
          </cell>
        </row>
        <row r="1136">
          <cell r="E1136" t="str">
            <v>1-Chlorooctadecane</v>
          </cell>
          <cell r="F1136" t="str">
            <v>3386-33-2</v>
          </cell>
        </row>
        <row r="1137">
          <cell r="E1137" t="str">
            <v>Total Hexachlorodibenzo-p-dioxins (HxCDD)</v>
          </cell>
          <cell r="F1137" t="str">
            <v>34465-46-8</v>
          </cell>
        </row>
        <row r="1138">
          <cell r="E1138" t="str">
            <v>1,2-Dichloro-1,1,2-trifluoroethane</v>
          </cell>
          <cell r="F1138" t="str">
            <v>354-23-4</v>
          </cell>
        </row>
        <row r="1139">
          <cell r="E1139" t="str">
            <v>1,2,3,4,6,7,8-Heptachlorodibenzo-p-dioxin</v>
          </cell>
          <cell r="F1139" t="str">
            <v>35822-46-9</v>
          </cell>
        </row>
        <row r="1140">
          <cell r="E1140" t="str">
            <v>Total Pentachlorodibenzo-p-dioxin (PeCDD)</v>
          </cell>
          <cell r="F1140" t="str">
            <v>36088-22-9</v>
          </cell>
        </row>
        <row r="1141">
          <cell r="E1141" t="str">
            <v>Total Heptachlorodibenzo-p-dioxins (HpCDD)</v>
          </cell>
          <cell r="F1141" t="str">
            <v>37871-00-4</v>
          </cell>
        </row>
        <row r="1142">
          <cell r="E1142" t="str">
            <v>1,4 Dichlorobenzene-d4</v>
          </cell>
          <cell r="F1142" t="str">
            <v>3855-82-1</v>
          </cell>
        </row>
        <row r="1143">
          <cell r="E1143" t="str">
            <v>Octachlorodibenzofuran</v>
          </cell>
          <cell r="F1143" t="str">
            <v>39001-02-0</v>
          </cell>
        </row>
        <row r="1144">
          <cell r="E1144" t="str">
            <v>1,2,3,4,7,8-Hexachlorodibenzo-p-dioxin</v>
          </cell>
          <cell r="F1144" t="str">
            <v>39227-28-6</v>
          </cell>
        </row>
        <row r="1145">
          <cell r="E1145" t="str">
            <v>trans-Nonachlor</v>
          </cell>
          <cell r="F1145" t="str">
            <v>39765-80-5</v>
          </cell>
        </row>
        <row r="1146">
          <cell r="E1146" t="str">
            <v>1,2,3,7,8-Pentachlorodibenzo-p-dioxin</v>
          </cell>
          <cell r="F1146" t="str">
            <v>40321-76-4</v>
          </cell>
        </row>
        <row r="1147">
          <cell r="E1147" t="str">
            <v>trans-Isosafrole</v>
          </cell>
          <cell r="F1147" t="str">
            <v>4043-71-4</v>
          </cell>
        </row>
        <row r="1148">
          <cell r="E1148" t="str">
            <v>Penoxalin (Pendimethalin)</v>
          </cell>
          <cell r="F1148" t="str">
            <v>40487-42-1</v>
          </cell>
        </row>
        <row r="1149">
          <cell r="E1149" t="str">
            <v>Nitrobenzene-d5</v>
          </cell>
          <cell r="F1149" t="str">
            <v>4165-60-0</v>
          </cell>
        </row>
        <row r="1150">
          <cell r="E1150" t="str">
            <v>Phenol-d5</v>
          </cell>
          <cell r="F1150" t="str">
            <v>4165-62-2</v>
          </cell>
        </row>
        <row r="1151">
          <cell r="E1151" t="str">
            <v>Isodrin</v>
          </cell>
          <cell r="F1151" t="str">
            <v>465-73-6</v>
          </cell>
        </row>
        <row r="1152">
          <cell r="E1152" t="str">
            <v>Phenobarbital</v>
          </cell>
          <cell r="F1152" t="str">
            <v>50-06-6</v>
          </cell>
        </row>
        <row r="1153">
          <cell r="E1153" t="str">
            <v>1,4-Dithiane</v>
          </cell>
          <cell r="F1153" t="str">
            <v>505-29-3</v>
          </cell>
        </row>
        <row r="1154">
          <cell r="E1154" t="str">
            <v>Total Petroleum Hydrocarbons (TPH) as JP-4</v>
          </cell>
          <cell r="F1154" t="str">
            <v>50815-00-4</v>
          </cell>
        </row>
        <row r="1155">
          <cell r="E1155" t="str">
            <v>Metolachlor</v>
          </cell>
          <cell r="F1155" t="str">
            <v>51218-45-2</v>
          </cell>
        </row>
        <row r="1156">
          <cell r="E1156" t="str">
            <v>Hexazinone</v>
          </cell>
          <cell r="F1156" t="str">
            <v>51235-04-2</v>
          </cell>
        </row>
        <row r="1157">
          <cell r="E1157" t="str">
            <v>Trimethyl phosphate</v>
          </cell>
          <cell r="F1157" t="str">
            <v>512-56-1</v>
          </cell>
        </row>
        <row r="1158">
          <cell r="E1158" t="str">
            <v>1,1-Dichloropropanone</v>
          </cell>
          <cell r="F1158" t="str">
            <v>513-88-2</v>
          </cell>
        </row>
        <row r="1159">
          <cell r="E1159" t="str">
            <v>Ethyl carbamate</v>
          </cell>
          <cell r="F1159" t="str">
            <v>51-79-6</v>
          </cell>
        </row>
        <row r="1160">
          <cell r="E1160" t="str">
            <v>Permethrin</v>
          </cell>
          <cell r="F1160" t="str">
            <v>52645-53-1</v>
          </cell>
        </row>
        <row r="1161">
          <cell r="E1161" t="str">
            <v>1,2,3-Trimethylbenzene</v>
          </cell>
          <cell r="F1161" t="str">
            <v>526-73-8</v>
          </cell>
        </row>
        <row r="1162">
          <cell r="E1162" t="str">
            <v>Trichlorfon</v>
          </cell>
          <cell r="F1162" t="str">
            <v>52-68-6</v>
          </cell>
        </row>
        <row r="1163">
          <cell r="E1163" t="str">
            <v>1,2-Dinitrobenzene</v>
          </cell>
          <cell r="F1163" t="str">
            <v>528-29-0</v>
          </cell>
        </row>
        <row r="1164">
          <cell r="E1164" t="str">
            <v>Nonachlorobiphenyl</v>
          </cell>
          <cell r="F1164" t="str">
            <v>53742-07-7</v>
          </cell>
        </row>
        <row r="1165">
          <cell r="E1165" t="str">
            <v>Isobutylbenzene</v>
          </cell>
          <cell r="F1165" t="str">
            <v>538-93-2</v>
          </cell>
        </row>
        <row r="1166">
          <cell r="E1166" t="str">
            <v>1,4-Difluorobenzene</v>
          </cell>
          <cell r="F1166" t="str">
            <v>540-36-3</v>
          </cell>
        </row>
        <row r="1167">
          <cell r="E1167" t="str">
            <v>1,2-Dichloroethene, Total</v>
          </cell>
          <cell r="F1167" t="str">
            <v>540-59-0</v>
          </cell>
        </row>
        <row r="1168">
          <cell r="E1168" t="str">
            <v>1,3-Dichlorobenzene</v>
          </cell>
          <cell r="F1168" t="str">
            <v>541-73-1</v>
          </cell>
        </row>
        <row r="1169">
          <cell r="E1169" t="str">
            <v>1,3-Dichloropropene (Total)</v>
          </cell>
          <cell r="F1169" t="str">
            <v>542-75-6</v>
          </cell>
        </row>
        <row r="1170">
          <cell r="E1170" t="str">
            <v>1-Chlorohexane</v>
          </cell>
          <cell r="F1170" t="str">
            <v>544-10-5</v>
          </cell>
        </row>
        <row r="1171">
          <cell r="E1171" t="str">
            <v>n-Nitrosodiethylamine</v>
          </cell>
          <cell r="F1171" t="str">
            <v>55-18-5</v>
          </cell>
        </row>
        <row r="1172">
          <cell r="E1172" t="str">
            <v>Neburon</v>
          </cell>
          <cell r="F1172" t="str">
            <v>555-37-3</v>
          </cell>
        </row>
        <row r="1173">
          <cell r="E1173" t="str">
            <v>Nitroglycerin</v>
          </cell>
          <cell r="F1173" t="str">
            <v>55-63-0</v>
          </cell>
        </row>
        <row r="1174">
          <cell r="E1174" t="str">
            <v>1,2,3,4,7,8,9-Heptachlorodibenzofuran</v>
          </cell>
          <cell r="F1174" t="str">
            <v>55673-89-7</v>
          </cell>
        </row>
        <row r="1175">
          <cell r="E1175" t="str">
            <v>Nitroguanidine</v>
          </cell>
          <cell r="F1175" t="str">
            <v>556-88-7</v>
          </cell>
        </row>
        <row r="1176">
          <cell r="E1176" t="str">
            <v>Octachlorobiphenyl</v>
          </cell>
          <cell r="F1176" t="str">
            <v>55722-26-4</v>
          </cell>
        </row>
        <row r="1177">
          <cell r="E1177" t="str">
            <v>1,1-Dichloropropene</v>
          </cell>
          <cell r="F1177" t="str">
            <v>563-58-6</v>
          </cell>
        </row>
        <row r="1178">
          <cell r="E1178" t="str">
            <v>Octadecanoic acid</v>
          </cell>
          <cell r="F1178" t="str">
            <v>57-11-4</v>
          </cell>
        </row>
        <row r="1179">
          <cell r="E1179" t="str">
            <v>1,2,3,7,8-Pentachlorodibenzofuran</v>
          </cell>
          <cell r="F1179" t="str">
            <v>57117-41-6</v>
          </cell>
        </row>
        <row r="1180">
          <cell r="E1180" t="str">
            <v>1,2,3,6,7,8-Hexachlorodibenzofuran</v>
          </cell>
          <cell r="F1180" t="str">
            <v>57117-44-9</v>
          </cell>
        </row>
        <row r="1181">
          <cell r="E1181" t="str">
            <v>1,1-Dimethylhydrazine</v>
          </cell>
          <cell r="F1181" t="str">
            <v>57-14-7</v>
          </cell>
        </row>
        <row r="1182">
          <cell r="E1182" t="str">
            <v>1,2,3,6,7,8-Hexachlorodibenzo-p-dioxin</v>
          </cell>
          <cell r="F1182" t="str">
            <v>57653-85-7</v>
          </cell>
        </row>
        <row r="1183">
          <cell r="E1183" t="str">
            <v>1-Acetyl-2-thiourea</v>
          </cell>
          <cell r="F1183" t="str">
            <v>591-08-2</v>
          </cell>
        </row>
        <row r="1184">
          <cell r="E1184" t="str">
            <v>Octadecane</v>
          </cell>
          <cell r="F1184" t="str">
            <v>593-45-3</v>
          </cell>
        </row>
        <row r="1185">
          <cell r="E1185" t="str">
            <v>n-Nitrosomorpholine</v>
          </cell>
          <cell r="F1185" t="str">
            <v>59-89-2</v>
          </cell>
        </row>
        <row r="1186">
          <cell r="E1186" t="str">
            <v>p-Dimethylaminoazobenzene</v>
          </cell>
          <cell r="F1186" t="str">
            <v>60-11-7</v>
          </cell>
        </row>
        <row r="1187">
          <cell r="E1187" t="str">
            <v>Pentachlorobenzene</v>
          </cell>
          <cell r="F1187" t="str">
            <v>608-93-5</v>
          </cell>
        </row>
        <row r="1188">
          <cell r="E1188" t="str">
            <v>Methylene Blue Active Substances</v>
          </cell>
          <cell r="F1188" t="str">
            <v>61-73-4</v>
          </cell>
        </row>
        <row r="1189">
          <cell r="E1189" t="str">
            <v>n-Nitrosodi-n-propylamine</v>
          </cell>
          <cell r="F1189" t="str">
            <v>621-64-7</v>
          </cell>
        </row>
        <row r="1190">
          <cell r="E1190" t="str">
            <v>Methyl disulfide</v>
          </cell>
          <cell r="F1190" t="str">
            <v>624-92-0</v>
          </cell>
        </row>
        <row r="1191">
          <cell r="E1191" t="str">
            <v>Ethyl methanesulfonate</v>
          </cell>
          <cell r="F1191" t="str">
            <v>62-50-0</v>
          </cell>
        </row>
        <row r="1192">
          <cell r="E1192" t="str">
            <v>n-Nitrosodimethylamine</v>
          </cell>
          <cell r="F1192" t="str">
            <v>62-75-9</v>
          </cell>
        </row>
        <row r="1193">
          <cell r="E1193" t="str">
            <v>Tridecane</v>
          </cell>
          <cell r="F1193" t="str">
            <v>629-50-5</v>
          </cell>
        </row>
        <row r="1194">
          <cell r="E1194" t="str">
            <v>C14 as n-Tetradecane</v>
          </cell>
          <cell r="F1194" t="str">
            <v>629-59-4</v>
          </cell>
        </row>
        <row r="1195">
          <cell r="E1195" t="str">
            <v>Nonadecane</v>
          </cell>
          <cell r="F1195" t="str">
            <v>629-92-5</v>
          </cell>
        </row>
        <row r="1196">
          <cell r="E1196" t="str">
            <v>Pentacosane</v>
          </cell>
          <cell r="F1196" t="str">
            <v>629-99-2</v>
          </cell>
        </row>
        <row r="1197">
          <cell r="E1197" t="str">
            <v>Octacosane</v>
          </cell>
          <cell r="F1197" t="str">
            <v>630-02-4</v>
          </cell>
        </row>
        <row r="1198">
          <cell r="E1198" t="str">
            <v>Nonacosane</v>
          </cell>
          <cell r="F1198" t="str">
            <v>630-03-5</v>
          </cell>
        </row>
        <row r="1199">
          <cell r="E1199" t="str">
            <v>Tritriacontane</v>
          </cell>
          <cell r="F1199" t="str">
            <v>630-05-7</v>
          </cell>
        </row>
        <row r="1200">
          <cell r="E1200" t="str">
            <v>Pentatriacontane</v>
          </cell>
          <cell r="F1200" t="str">
            <v>630-07-9</v>
          </cell>
        </row>
        <row r="1201">
          <cell r="E1201" t="str">
            <v>1,1,1,2-Tetrachloroethane</v>
          </cell>
          <cell r="F1201" t="str">
            <v>630-20-6</v>
          </cell>
        </row>
        <row r="1202">
          <cell r="E1202" t="str">
            <v>1,2,3,5-Tetrachlorobenzene</v>
          </cell>
          <cell r="F1202" t="str">
            <v>634-90-2</v>
          </cell>
        </row>
        <row r="1203">
          <cell r="E1203" t="str">
            <v>Ethyl tert-butyl ether (ETBE)</v>
          </cell>
          <cell r="F1203" t="str">
            <v>637-92-3</v>
          </cell>
        </row>
        <row r="1204">
          <cell r="E1204" t="str">
            <v>n-Triacontane</v>
          </cell>
          <cell r="F1204" t="str">
            <v>638-68-6</v>
          </cell>
        </row>
        <row r="1205">
          <cell r="E1205" t="str">
            <v>Mineral Spirits</v>
          </cell>
          <cell r="F1205" t="str">
            <v>64475-85-0</v>
          </cell>
        </row>
        <row r="1206">
          <cell r="E1206" t="str">
            <v>Isohexanoic Acid</v>
          </cell>
          <cell r="F1206" t="str">
            <v>646-07-1</v>
          </cell>
        </row>
        <row r="1207">
          <cell r="E1207" t="str">
            <v>Methanol (MeOH)</v>
          </cell>
          <cell r="F1207" t="str">
            <v>67-56-1</v>
          </cell>
        </row>
        <row r="1208">
          <cell r="E1208" t="str">
            <v>1,2,3,4,6,7,8-Heptachlorodibenzofuran</v>
          </cell>
          <cell r="F1208" t="str">
            <v>67562-39-4</v>
          </cell>
        </row>
        <row r="1209">
          <cell r="E1209" t="str">
            <v>Fuel Oil No. 6 (BUNKER C)</v>
          </cell>
          <cell r="F1209" t="str">
            <v>68553-00-4</v>
          </cell>
        </row>
        <row r="1210">
          <cell r="E1210" t="str">
            <v>Tributyltin</v>
          </cell>
          <cell r="F1210" t="str">
            <v>688-73-3</v>
          </cell>
        </row>
        <row r="1211">
          <cell r="E1211" t="str">
            <v>Monocrotophos</v>
          </cell>
          <cell r="F1211" t="str">
            <v>6923-22-4</v>
          </cell>
        </row>
        <row r="1212">
          <cell r="E1212" t="str">
            <v>1,2,3,4,7,8-Hexachlorodibenzofuran</v>
          </cell>
          <cell r="F1212" t="str">
            <v>70648-26-9</v>
          </cell>
        </row>
        <row r="1213">
          <cell r="E1213" t="str">
            <v>1-Pentanol</v>
          </cell>
          <cell r="F1213" t="str">
            <v>71-41-0</v>
          </cell>
        </row>
        <row r="1214">
          <cell r="E1214" t="str">
            <v>1,1,1-Trichloroethane</v>
          </cell>
          <cell r="F1214" t="str">
            <v>71-55-6</v>
          </cell>
        </row>
        <row r="1215">
          <cell r="E1215" t="str">
            <v>Mestranol</v>
          </cell>
          <cell r="F1215" t="str">
            <v>72-33-3</v>
          </cell>
        </row>
        <row r="1216">
          <cell r="E1216" t="str">
            <v>Methoxychlor</v>
          </cell>
          <cell r="F1216" t="str">
            <v>72-43-5</v>
          </cell>
        </row>
        <row r="1217">
          <cell r="E1217" t="str">
            <v>Perthane</v>
          </cell>
          <cell r="F1217" t="str">
            <v>72-56-0</v>
          </cell>
        </row>
        <row r="1218">
          <cell r="E1218" t="str">
            <v>1,2,3,7,8,9-Hexachlorodibenzofuran</v>
          </cell>
          <cell r="F1218" t="str">
            <v>72918-21-9</v>
          </cell>
        </row>
        <row r="1219">
          <cell r="E1219" t="str">
            <v>Iron</v>
          </cell>
          <cell r="F1219" t="str">
            <v>7439-89-6</v>
          </cell>
        </row>
        <row r="1220">
          <cell r="E1220" t="str">
            <v>Lead</v>
          </cell>
          <cell r="F1220" t="str">
            <v>7439-92-1</v>
          </cell>
        </row>
        <row r="1221">
          <cell r="E1221" t="str">
            <v>Lithium</v>
          </cell>
          <cell r="F1221" t="str">
            <v>7439-93-2</v>
          </cell>
        </row>
        <row r="1222">
          <cell r="E1222" t="str">
            <v>Magnesium</v>
          </cell>
          <cell r="F1222" t="str">
            <v>7439-95-4</v>
          </cell>
        </row>
        <row r="1223">
          <cell r="E1223" t="str">
            <v>Manganese</v>
          </cell>
          <cell r="F1223" t="str">
            <v>7439-96-5</v>
          </cell>
        </row>
        <row r="1224">
          <cell r="E1224" t="str">
            <v>Mercury</v>
          </cell>
          <cell r="F1224" t="str">
            <v>7439-97-6</v>
          </cell>
        </row>
        <row r="1225">
          <cell r="E1225" t="str">
            <v>Molybdenum</v>
          </cell>
          <cell r="F1225" t="str">
            <v>7439-98-7</v>
          </cell>
        </row>
        <row r="1226">
          <cell r="E1226" t="str">
            <v>Nickel</v>
          </cell>
          <cell r="F1226" t="str">
            <v>7440-02-0</v>
          </cell>
        </row>
        <row r="1227">
          <cell r="E1227" t="str">
            <v>Titanium</v>
          </cell>
          <cell r="F1227" t="str">
            <v>7440-32-6</v>
          </cell>
        </row>
        <row r="1228">
          <cell r="E1228" t="str">
            <v>Uranium-238</v>
          </cell>
          <cell r="F1228" t="str">
            <v>7440-61-1</v>
          </cell>
        </row>
        <row r="1229">
          <cell r="E1229" t="str">
            <v>Vanadium</v>
          </cell>
          <cell r="F1229" t="str">
            <v>7440-62-2</v>
          </cell>
        </row>
        <row r="1230">
          <cell r="E1230" t="str">
            <v>Yttrium</v>
          </cell>
          <cell r="F1230" t="str">
            <v>7440-65-5</v>
          </cell>
        </row>
        <row r="1231">
          <cell r="E1231" t="str">
            <v>Zinc</v>
          </cell>
          <cell r="F1231" t="str">
            <v>7440-66-6</v>
          </cell>
        </row>
        <row r="1232">
          <cell r="E1232" t="str">
            <v>Zirconium</v>
          </cell>
          <cell r="F1232" t="str">
            <v>7440-67-7</v>
          </cell>
        </row>
        <row r="1233">
          <cell r="E1233" t="str">
            <v>Methane</v>
          </cell>
          <cell r="F1233" t="str">
            <v>74-82-8</v>
          </cell>
        </row>
        <row r="1234">
          <cell r="E1234" t="str">
            <v>Methyl mercaptan</v>
          </cell>
          <cell r="F1234" t="str">
            <v>74-93-1</v>
          </cell>
        </row>
        <row r="1235">
          <cell r="E1235" t="str">
            <v>Vinyl chloride</v>
          </cell>
          <cell r="F1235" t="str">
            <v>75-01-4</v>
          </cell>
        </row>
        <row r="1236">
          <cell r="E1236" t="str">
            <v>Monoethylamine</v>
          </cell>
          <cell r="F1236" t="str">
            <v>75-04-7</v>
          </cell>
        </row>
        <row r="1237">
          <cell r="E1237" t="str">
            <v>Ethyl mercaptan</v>
          </cell>
          <cell r="F1237" t="str">
            <v>75-08-1</v>
          </cell>
        </row>
        <row r="1238">
          <cell r="E1238" t="str">
            <v>Methylene chloride</v>
          </cell>
          <cell r="F1238" t="str">
            <v>75-09-2</v>
          </cell>
        </row>
        <row r="1239">
          <cell r="E1239" t="str">
            <v>Ethylene oxide</v>
          </cell>
          <cell r="F1239" t="str">
            <v>75-21-8</v>
          </cell>
        </row>
        <row r="1240">
          <cell r="E1240" t="str">
            <v>Isobutane</v>
          </cell>
          <cell r="F1240" t="str">
            <v>75-28-5</v>
          </cell>
        </row>
        <row r="1241">
          <cell r="E1241" t="str">
            <v>1,1-Dichloroethane</v>
          </cell>
          <cell r="F1241" t="str">
            <v>75-34-3</v>
          </cell>
        </row>
        <row r="1242">
          <cell r="E1242" t="str">
            <v>1,1-Dichloroethene</v>
          </cell>
          <cell r="F1242" t="str">
            <v>75-35-4</v>
          </cell>
        </row>
        <row r="1243">
          <cell r="E1243" t="str">
            <v>1,1-Difluoroethane</v>
          </cell>
          <cell r="F1243" t="str">
            <v>75-37-6</v>
          </cell>
        </row>
        <row r="1244">
          <cell r="E1244" t="str">
            <v>Trimethylamine</v>
          </cell>
          <cell r="F1244" t="str">
            <v>75-50-3</v>
          </cell>
        </row>
        <row r="1245">
          <cell r="E1245" t="str">
            <v>Trichlorofluoromethane</v>
          </cell>
          <cell r="F1245" t="str">
            <v>75-69-4</v>
          </cell>
        </row>
        <row r="1246">
          <cell r="E1246" t="str">
            <v>Pentachloroethane</v>
          </cell>
          <cell r="F1246" t="str">
            <v>76-01-7</v>
          </cell>
        </row>
        <row r="1247">
          <cell r="E1247" t="str">
            <v>1,1,2-Trichloro-1,2,2-trifluoroethane</v>
          </cell>
          <cell r="F1247" t="str">
            <v>76-13-1</v>
          </cell>
        </row>
        <row r="1248">
          <cell r="E1248" t="str">
            <v>1,2-Dichloro-1,1,2,2-tetrafluoroethane</v>
          </cell>
          <cell r="F1248" t="str">
            <v>76-14-2</v>
          </cell>
        </row>
        <row r="1249">
          <cell r="E1249" t="str">
            <v>1,4-Dichloro-2-butene, Total</v>
          </cell>
          <cell r="F1249" t="str">
            <v>764-41-0</v>
          </cell>
        </row>
        <row r="1250">
          <cell r="E1250" t="str">
            <v>Hydrochloric Acid (Hydrogen Chloride)</v>
          </cell>
          <cell r="F1250" t="str">
            <v>7647-01-0</v>
          </cell>
        </row>
        <row r="1251">
          <cell r="E1251" t="str">
            <v>Hydrofluoric acid</v>
          </cell>
          <cell r="F1251" t="str">
            <v>7664-39-3</v>
          </cell>
        </row>
        <row r="1252">
          <cell r="E1252" t="str">
            <v>Nitric Acid</v>
          </cell>
          <cell r="F1252" t="str">
            <v>7697-37-2</v>
          </cell>
        </row>
        <row r="1253">
          <cell r="E1253" t="str">
            <v>Phosphorus, Total (as P)</v>
          </cell>
          <cell r="F1253" t="str">
            <v>7723-14-0</v>
          </cell>
        </row>
        <row r="1254">
          <cell r="E1254" t="str">
            <v>Nitrogen</v>
          </cell>
          <cell r="F1254" t="str">
            <v>7727-37-9</v>
          </cell>
        </row>
        <row r="1255">
          <cell r="E1255" t="str">
            <v>Oxygen</v>
          </cell>
          <cell r="F1255" t="str">
            <v>7782-44-7</v>
          </cell>
        </row>
        <row r="1256">
          <cell r="E1256" t="str">
            <v>Mevinphos</v>
          </cell>
          <cell r="F1256" t="str">
            <v>7786-34-7</v>
          </cell>
        </row>
        <row r="1257">
          <cell r="E1257" t="str">
            <v>Isophorone</v>
          </cell>
          <cell r="F1257" t="str">
            <v>78-59-1</v>
          </cell>
        </row>
        <row r="1258">
          <cell r="E1258" t="str">
            <v>1,2-Dibromopropane</v>
          </cell>
          <cell r="F1258" t="str">
            <v>78-75-1</v>
          </cell>
        </row>
        <row r="1259">
          <cell r="E1259" t="str">
            <v>Isobutanol</v>
          </cell>
          <cell r="F1259" t="str">
            <v>78-83-1</v>
          </cell>
        </row>
        <row r="1260">
          <cell r="E1260" t="str">
            <v>1,2-Dichloropropane</v>
          </cell>
          <cell r="F1260" t="str">
            <v>78-87-5</v>
          </cell>
        </row>
        <row r="1261">
          <cell r="E1261" t="str">
            <v>1,1,2-Trichloroethane</v>
          </cell>
          <cell r="F1261" t="str">
            <v>79-00-5</v>
          </cell>
        </row>
        <row r="1262">
          <cell r="E1262" t="str">
            <v>Trichloroethene (TCE)</v>
          </cell>
          <cell r="F1262" t="str">
            <v>79-01-6</v>
          </cell>
        </row>
        <row r="1263">
          <cell r="E1263" t="str">
            <v>1,1,2,2-Tetrachloroethane</v>
          </cell>
          <cell r="F1263" t="str">
            <v>79-34-5</v>
          </cell>
        </row>
        <row r="1264">
          <cell r="E1264" t="str">
            <v>Toxaphene</v>
          </cell>
          <cell r="F1264" t="str">
            <v>8001-35-2</v>
          </cell>
        </row>
        <row r="1265">
          <cell r="E1265" t="str">
            <v>Total Petroleum Hydrocarbons (TPH) as JP-5</v>
          </cell>
          <cell r="F1265" t="str">
            <v>8008-20-6</v>
          </cell>
        </row>
        <row r="1266">
          <cell r="E1266" t="str">
            <v>Naphtha distillate</v>
          </cell>
          <cell r="F1266" t="str">
            <v>8030-30-6</v>
          </cell>
        </row>
        <row r="1267">
          <cell r="E1267" t="str">
            <v>alpha-Pinene</v>
          </cell>
          <cell r="F1267" t="str">
            <v>80-56-8</v>
          </cell>
        </row>
        <row r="1268">
          <cell r="E1268" t="str">
            <v>Methylmethacrylate</v>
          </cell>
          <cell r="F1268" t="str">
            <v>80-62-6</v>
          </cell>
        </row>
        <row r="1269">
          <cell r="E1269" t="str">
            <v>Pentachloronitrobenzene</v>
          </cell>
          <cell r="F1269" t="str">
            <v>82-68-8</v>
          </cell>
        </row>
        <row r="1270">
          <cell r="E1270" t="str">
            <v>1-Methylphenanthrene</v>
          </cell>
          <cell r="F1270" t="str">
            <v>832-69-9</v>
          </cell>
        </row>
        <row r="1271">
          <cell r="E1271" t="str">
            <v>o-Terphenyl</v>
          </cell>
          <cell r="F1271" t="str">
            <v>84-15-1</v>
          </cell>
        </row>
        <row r="1272">
          <cell r="E1272" t="str">
            <v>Phthalic anhydride</v>
          </cell>
          <cell r="F1272" t="str">
            <v>85-44-9</v>
          </cell>
        </row>
        <row r="1273">
          <cell r="E1273" t="str">
            <v>n-Nitrosodiphenylamine</v>
          </cell>
          <cell r="F1273" t="str">
            <v>86-30-6</v>
          </cell>
        </row>
        <row r="1274">
          <cell r="E1274" t="str">
            <v>1,2,3-Trichlorobenzene</v>
          </cell>
          <cell r="F1274" t="str">
            <v>87-61-6</v>
          </cell>
        </row>
        <row r="1275">
          <cell r="E1275" t="str">
            <v>Pentachlorophenol</v>
          </cell>
          <cell r="F1275" t="str">
            <v>87-86-5</v>
          </cell>
        </row>
        <row r="1276">
          <cell r="E1276" t="str">
            <v>Picric Acid</v>
          </cell>
          <cell r="F1276" t="str">
            <v>88-89-1</v>
          </cell>
        </row>
        <row r="1277">
          <cell r="E1277" t="str">
            <v>o-Anisidine</v>
          </cell>
          <cell r="F1277" t="str">
            <v>90-04-0</v>
          </cell>
        </row>
        <row r="1278">
          <cell r="E1278" t="str">
            <v>1-Methylnaphthalene</v>
          </cell>
          <cell r="F1278" t="str">
            <v>90-12-0</v>
          </cell>
        </row>
        <row r="1279">
          <cell r="E1279" t="str">
            <v>1-Chloronaphthalene</v>
          </cell>
          <cell r="F1279" t="str">
            <v>90-13-1</v>
          </cell>
        </row>
        <row r="1280">
          <cell r="E1280" t="str">
            <v>Naphthalene</v>
          </cell>
          <cell r="F1280" t="str">
            <v>91-20-3</v>
          </cell>
        </row>
        <row r="1281">
          <cell r="E1281" t="str">
            <v>Methapyrilene</v>
          </cell>
          <cell r="F1281" t="str">
            <v>91-80-5</v>
          </cell>
        </row>
        <row r="1282">
          <cell r="E1282" t="str">
            <v>m-Terphenyl</v>
          </cell>
          <cell r="F1282" t="str">
            <v>92-06-8</v>
          </cell>
        </row>
        <row r="1283">
          <cell r="E1283" t="str">
            <v>n-Nitroso-di-n-butylamine</v>
          </cell>
          <cell r="F1283" t="str">
            <v>924-16-3</v>
          </cell>
        </row>
        <row r="1284">
          <cell r="E1284" t="str">
            <v>n-Nitrosopyrrolidine</v>
          </cell>
          <cell r="F1284" t="str">
            <v>930-55-2</v>
          </cell>
        </row>
        <row r="1285">
          <cell r="E1285" t="str">
            <v>MCPP (2-(2-methyl-4-chlorophenoxy) propanoic acid)</v>
          </cell>
          <cell r="F1285" t="str">
            <v>93-65-2</v>
          </cell>
        </row>
        <row r="1286">
          <cell r="E1286" t="str">
            <v>Jet Fuel</v>
          </cell>
          <cell r="F1286" t="str">
            <v>94114-58-6</v>
          </cell>
        </row>
        <row r="1287">
          <cell r="E1287" t="str">
            <v>MCPA (2-Methyl-4-chlorophenoxy acetic acid)</v>
          </cell>
          <cell r="F1287" t="str">
            <v>94-74-6</v>
          </cell>
        </row>
        <row r="1288">
          <cell r="E1288" t="str">
            <v>Indene</v>
          </cell>
          <cell r="F1288" t="str">
            <v>95-13-6</v>
          </cell>
        </row>
        <row r="1289">
          <cell r="E1289" t="str">
            <v>o-Xylene</v>
          </cell>
          <cell r="F1289" t="str">
            <v>95-47-6</v>
          </cell>
        </row>
        <row r="1290">
          <cell r="E1290" t="str">
            <v>1,2-Dichlorobenzene</v>
          </cell>
          <cell r="F1290" t="str">
            <v>95-50-1</v>
          </cell>
        </row>
        <row r="1291">
          <cell r="E1291" t="str">
            <v>2-Chloroaniline</v>
          </cell>
          <cell r="F1291" t="str">
            <v>95-51-2</v>
          </cell>
        </row>
        <row r="1292">
          <cell r="E1292" t="str">
            <v>o-Toluidine</v>
          </cell>
          <cell r="F1292" t="str">
            <v>95-53-4</v>
          </cell>
        </row>
        <row r="1293">
          <cell r="E1293" t="str">
            <v>1,2,4-Trimethylbenzene</v>
          </cell>
          <cell r="F1293" t="str">
            <v>95-63-6</v>
          </cell>
        </row>
        <row r="1294">
          <cell r="E1294" t="str">
            <v>1,2,4,5-Tetramethylbenzene</v>
          </cell>
          <cell r="F1294" t="str">
            <v>95-93-2</v>
          </cell>
        </row>
        <row r="1295">
          <cell r="E1295" t="str">
            <v>1,2,4,5-Tetrachlorobenzene</v>
          </cell>
          <cell r="F1295" t="str">
            <v>95-94-3</v>
          </cell>
        </row>
        <row r="1296">
          <cell r="E1296" t="str">
            <v>1,2-Dibromo-3-chloropropane</v>
          </cell>
          <cell r="F1296" t="str">
            <v>96-12-8</v>
          </cell>
        </row>
        <row r="1297">
          <cell r="E1297" t="str">
            <v>1,2,3-Trichloropropane</v>
          </cell>
          <cell r="F1297" t="str">
            <v>96-18-4</v>
          </cell>
        </row>
        <row r="1298">
          <cell r="E1298" t="str">
            <v>1,2,3-Trichloropropene</v>
          </cell>
          <cell r="F1298" t="str">
            <v>96-19-5</v>
          </cell>
        </row>
        <row r="1299">
          <cell r="E1299" t="str">
            <v>1,3-Dichloro-2-propanol</v>
          </cell>
          <cell r="F1299" t="str">
            <v>96-23-1</v>
          </cell>
        </row>
        <row r="1300">
          <cell r="E1300" t="str">
            <v>Methyl acrylate</v>
          </cell>
          <cell r="F1300" t="str">
            <v>96-33-3</v>
          </cell>
        </row>
        <row r="1301">
          <cell r="E1301" t="str">
            <v>Ethylene thiourea (ETU)</v>
          </cell>
          <cell r="F1301" t="str">
            <v>96-45-7</v>
          </cell>
        </row>
        <row r="1302">
          <cell r="E1302" t="str">
            <v>Ethyl methacrylate</v>
          </cell>
          <cell r="F1302" t="str">
            <v>97-63-2</v>
          </cell>
        </row>
        <row r="1303">
          <cell r="E1303" t="str">
            <v>Trifluorotoluene</v>
          </cell>
          <cell r="F1303" t="str">
            <v>98-08-8</v>
          </cell>
        </row>
        <row r="1304">
          <cell r="E1304" t="str">
            <v>Isopropylbenzene</v>
          </cell>
          <cell r="F1304" t="str">
            <v>98-82-8</v>
          </cell>
        </row>
        <row r="1305">
          <cell r="E1305" t="str">
            <v>Nitrobenzene</v>
          </cell>
          <cell r="F1305" t="str">
            <v>98-95-3</v>
          </cell>
        </row>
        <row r="1306">
          <cell r="E1306" t="str">
            <v>1,3,5-Trinitrobenzene</v>
          </cell>
          <cell r="F1306" t="str">
            <v>99-35-4</v>
          </cell>
        </row>
        <row r="1307">
          <cell r="E1307" t="str">
            <v>1,3-Dinitrobenzene</v>
          </cell>
          <cell r="F1307" t="str">
            <v>99-65-0</v>
          </cell>
        </row>
        <row r="1308">
          <cell r="E1308" t="str">
            <v>C10-C12 Aliphatics</v>
          </cell>
          <cell r="F1308" t="str">
            <v>AL_C10C12</v>
          </cell>
        </row>
        <row r="1309">
          <cell r="E1309" t="str">
            <v>C10-C24 Aliphatics</v>
          </cell>
          <cell r="F1309" t="str">
            <v>AL_C10C24</v>
          </cell>
        </row>
        <row r="1310">
          <cell r="E1310" t="str">
            <v>C10-C25 Aliphatics</v>
          </cell>
          <cell r="F1310" t="str">
            <v>AL_C10C25</v>
          </cell>
        </row>
        <row r="1311">
          <cell r="E1311" t="str">
            <v>C16-C21 Aliphatics</v>
          </cell>
          <cell r="F1311" t="str">
            <v>AL_C16C21</v>
          </cell>
        </row>
        <row r="1312">
          <cell r="E1312" t="str">
            <v>C21-C34 Aliphatics</v>
          </cell>
          <cell r="F1312" t="str">
            <v>AL_C21C34</v>
          </cell>
        </row>
        <row r="1313">
          <cell r="E1313" t="str">
            <v>C5-C6 Aliphatics</v>
          </cell>
          <cell r="F1313" t="str">
            <v>AL_C5C6</v>
          </cell>
        </row>
        <row r="1314">
          <cell r="E1314" t="str">
            <v>C5-C8 Aliphatics (Adjusted baseline)</v>
          </cell>
          <cell r="F1314" t="str">
            <v>AL_C5C8</v>
          </cell>
        </row>
        <row r="1315">
          <cell r="E1315" t="str">
            <v>C6-C10 Aliphatics</v>
          </cell>
          <cell r="F1315" t="str">
            <v>AL_C6C10</v>
          </cell>
        </row>
        <row r="1316">
          <cell r="E1316" t="str">
            <v>C6-C8 Aliphatics</v>
          </cell>
          <cell r="F1316" t="str">
            <v>AL_C6C8</v>
          </cell>
        </row>
        <row r="1317">
          <cell r="E1317" t="str">
            <v>C8-C10 Aliphatics</v>
          </cell>
          <cell r="F1317" t="str">
            <v>AL_C8C10</v>
          </cell>
        </row>
        <row r="1318">
          <cell r="E1318" t="str">
            <v>C10-C12 Aromatics</v>
          </cell>
          <cell r="F1318" t="str">
            <v>AR_C10C12</v>
          </cell>
        </row>
        <row r="1319">
          <cell r="E1319" t="str">
            <v>C10-C24 Aromatics</v>
          </cell>
          <cell r="F1319" t="str">
            <v>AR_C10C24</v>
          </cell>
        </row>
        <row r="1320">
          <cell r="E1320" t="str">
            <v>C10-C25 Aromatics</v>
          </cell>
          <cell r="F1320" t="str">
            <v>AR_C10C25</v>
          </cell>
        </row>
        <row r="1321">
          <cell r="E1321" t="str">
            <v>C12-C13 Aromatics</v>
          </cell>
          <cell r="F1321" t="str">
            <v>AR_C12C13</v>
          </cell>
        </row>
        <row r="1322">
          <cell r="E1322" t="str">
            <v>C12-C16 Aromatics</v>
          </cell>
          <cell r="F1322" t="str">
            <v>AR_C12C16</v>
          </cell>
        </row>
        <row r="1323">
          <cell r="E1323" t="str">
            <v>C16-C21 Aromatics</v>
          </cell>
          <cell r="F1323" t="str">
            <v>AR_C16C21</v>
          </cell>
        </row>
        <row r="1324">
          <cell r="E1324" t="str">
            <v>C21-C34 Aromatics</v>
          </cell>
          <cell r="F1324" t="str">
            <v>AR_C21C34</v>
          </cell>
        </row>
        <row r="1325">
          <cell r="E1325" t="str">
            <v>C25-C36 Aromatics</v>
          </cell>
          <cell r="F1325" t="str">
            <v>AR_C25C36</v>
          </cell>
        </row>
        <row r="1326">
          <cell r="E1326" t="str">
            <v>C6-C10 Aromatics</v>
          </cell>
          <cell r="F1326" t="str">
            <v>AR_C6C10</v>
          </cell>
        </row>
        <row r="1327">
          <cell r="E1327" t="str">
            <v>C8-C10 Aromatics</v>
          </cell>
          <cell r="F1327" t="str">
            <v>AR_C8C10</v>
          </cell>
        </row>
        <row r="1328">
          <cell r="E1328" t="str">
            <v>C9-C10 Aromatics</v>
          </cell>
          <cell r="F1328" t="str">
            <v>AR_C9C10</v>
          </cell>
        </row>
        <row r="1329">
          <cell r="E1329" t="str">
            <v>Conductivity</v>
          </cell>
          <cell r="F1329" t="str">
            <v>HC</v>
          </cell>
        </row>
        <row r="1330">
          <cell r="E1330" t="str">
            <v>Ignitability</v>
          </cell>
          <cell r="F1330" t="str">
            <v>IGNITE</v>
          </cell>
        </row>
        <row r="1331">
          <cell r="E1331" t="str">
            <v>Percent Moisture</v>
          </cell>
          <cell r="F1331" t="str">
            <v>MC</v>
          </cell>
        </row>
        <row r="1332">
          <cell r="E1332" t="str">
            <v>Xylene, Isomers m &amp; p</v>
          </cell>
          <cell r="F1332" t="str">
            <v>MP-XYL</v>
          </cell>
        </row>
        <row r="1333">
          <cell r="E1333" t="str">
            <v>Nitrogen, Nitrate (as N)</v>
          </cell>
          <cell r="F1333" t="str">
            <v>NITRATE-N</v>
          </cell>
        </row>
        <row r="1334">
          <cell r="E1334" t="str">
            <v>Nitrogen, Nitrite</v>
          </cell>
          <cell r="F1334" t="str">
            <v>NITRITE-N</v>
          </cell>
        </row>
        <row r="1335">
          <cell r="E1335" t="str">
            <v>Nitrogen, Nitrate-Nitrite</v>
          </cell>
          <cell r="F1335" t="str">
            <v>NO3NO2N</v>
          </cell>
        </row>
        <row r="1336">
          <cell r="E1336" t="str">
            <v>Oil and Grease</v>
          </cell>
          <cell r="F1336" t="str">
            <v>O&amp;G</v>
          </cell>
        </row>
        <row r="1337">
          <cell r="E1337" t="str">
            <v>Organic Lead</v>
          </cell>
          <cell r="F1337" t="str">
            <v>ORG PB</v>
          </cell>
        </row>
        <row r="1338">
          <cell r="E1338" t="str">
            <v>Oxidation-Reduction Potential</v>
          </cell>
          <cell r="F1338" t="str">
            <v>ORP</v>
          </cell>
        </row>
        <row r="1339">
          <cell r="E1339" t="str">
            <v>Total Lipids</v>
          </cell>
          <cell r="F1339" t="str">
            <v>PERCENT LIPIDS</v>
          </cell>
        </row>
        <row r="1340">
          <cell r="E1340" t="str">
            <v>Solids, Percent</v>
          </cell>
          <cell r="F1340" t="str">
            <v>PERCENT SOLIDS</v>
          </cell>
        </row>
        <row r="1341">
          <cell r="E1341" t="str">
            <v>pH</v>
          </cell>
          <cell r="F1341" t="str">
            <v>pH</v>
          </cell>
        </row>
        <row r="1342">
          <cell r="E1342" t="str">
            <v>Total Petroleum Hydrocarbons (TPH) (C10-C28)</v>
          </cell>
          <cell r="F1342" t="str">
            <v>PHCC10C28</v>
          </cell>
        </row>
        <row r="1343">
          <cell r="E1343" t="str">
            <v>Total Petroleum Hydrocarbons (TPH) (C11-C12)</v>
          </cell>
          <cell r="F1343" t="str">
            <v>PHCC11C12</v>
          </cell>
        </row>
        <row r="1344">
          <cell r="E1344" t="str">
            <v>Total Petroleum Hydrocarbons (TPH) (C13-C14)</v>
          </cell>
          <cell r="F1344" t="str">
            <v>PHCC13C14</v>
          </cell>
        </row>
        <row r="1345">
          <cell r="E1345" t="str">
            <v>Total Petroleum Hydrocarbons (TPH) (C15-C16)</v>
          </cell>
          <cell r="F1345" t="str">
            <v>PHCC15C16</v>
          </cell>
        </row>
        <row r="1346">
          <cell r="E1346" t="str">
            <v>Total Petroleum Hydrocarbons (TPH) (C17-C18)</v>
          </cell>
          <cell r="F1346" t="str">
            <v>PHCC17C18</v>
          </cell>
        </row>
        <row r="1347">
          <cell r="E1347" t="str">
            <v>Total Petroleum Hydrocarbons (TPH) (C19-C20)</v>
          </cell>
          <cell r="F1347" t="str">
            <v>PHCC19C20</v>
          </cell>
        </row>
        <row r="1348">
          <cell r="E1348" t="str">
            <v>Total Petroleum Hydrocarbons (TPH) (C21-C22)</v>
          </cell>
          <cell r="F1348" t="str">
            <v>PHCC21C22</v>
          </cell>
        </row>
        <row r="1349">
          <cell r="E1349" t="str">
            <v>Total Petroleum Hydrocarbons (TPH) (C23-C24)</v>
          </cell>
          <cell r="F1349" t="str">
            <v>PHCC23C24</v>
          </cell>
        </row>
        <row r="1350">
          <cell r="E1350" t="str">
            <v>Total Petroleum Hydrocarbons (TPH) (C25-C28)</v>
          </cell>
          <cell r="F1350" t="str">
            <v>PHCC25C28</v>
          </cell>
        </row>
        <row r="1351">
          <cell r="E1351" t="str">
            <v>Total Petroleum Hydrocarbons (TPH) (C28-C40)</v>
          </cell>
          <cell r="F1351" t="str">
            <v>PHCC28C40</v>
          </cell>
        </row>
        <row r="1352">
          <cell r="E1352" t="str">
            <v>Total Petroleum Hydrocarbons (TPH) (C29-C32)</v>
          </cell>
          <cell r="F1352" t="str">
            <v>PHCC29C32</v>
          </cell>
        </row>
        <row r="1353">
          <cell r="E1353" t="str">
            <v>Total Petroleum Hydrocarbons (TPH) (C33-C36)</v>
          </cell>
          <cell r="F1353" t="str">
            <v>PHCC33C36</v>
          </cell>
        </row>
        <row r="1354">
          <cell r="E1354" t="str">
            <v>Total Petroleum Hydrocarbons (TPH) (C37-C40)</v>
          </cell>
          <cell r="F1354" t="str">
            <v>PHCC37C40</v>
          </cell>
        </row>
        <row r="1355">
          <cell r="E1355" t="str">
            <v>Total Petroleum Hydrocarbons (TPH) (C41-C44)</v>
          </cell>
          <cell r="F1355" t="str">
            <v>PHCC41C44</v>
          </cell>
        </row>
        <row r="1356">
          <cell r="E1356" t="str">
            <v>Total Petroleum Hydrocarbons (TPH) (C6)</v>
          </cell>
          <cell r="F1356" t="str">
            <v>PHCC6</v>
          </cell>
        </row>
        <row r="1357">
          <cell r="E1357" t="str">
            <v>Total Petroleum Hydrocarbons (TPH) (C6-C10)</v>
          </cell>
          <cell r="F1357" t="str">
            <v>PHCC6C10</v>
          </cell>
        </row>
        <row r="1358">
          <cell r="E1358" t="str">
            <v>Total Petroleum Hydrocarbons (TPH) (C6-C40)</v>
          </cell>
          <cell r="F1358" t="str">
            <v>PHCC6C40</v>
          </cell>
        </row>
        <row r="1359">
          <cell r="E1359" t="str">
            <v>Total Petroleum Hydrocarbons (TPH) (C6-C44)</v>
          </cell>
          <cell r="F1359" t="str">
            <v>PHCC6C44</v>
          </cell>
        </row>
        <row r="1360">
          <cell r="E1360" t="str">
            <v>Total Petroleum Hydrocarbons (TPH) (C7)</v>
          </cell>
          <cell r="F1360" t="str">
            <v>PHCC7</v>
          </cell>
        </row>
        <row r="1361">
          <cell r="E1361" t="str">
            <v>Total Petroleum Hydrocarbons (TPH) (C8)</v>
          </cell>
          <cell r="F1361" t="str">
            <v>PHCC8</v>
          </cell>
        </row>
        <row r="1362">
          <cell r="E1362" t="str">
            <v>Total Petroleum Hydrocarbons (TPH) (C9-C10)</v>
          </cell>
          <cell r="F1362" t="str">
            <v>PHCC9C10</v>
          </cell>
        </row>
        <row r="1363">
          <cell r="E1363" t="str">
            <v>Total Petroleum Hydrocarbons (TPH) as Diesel Fuel (TPHD)</v>
          </cell>
          <cell r="F1363" t="str">
            <v>PHCD</v>
          </cell>
        </row>
        <row r="1364">
          <cell r="E1364" t="str">
            <v>Total Petroleum Hydrocarbons (TPH) as Gasoline (TPHG)</v>
          </cell>
          <cell r="F1364" t="str">
            <v>PHCG</v>
          </cell>
        </row>
        <row r="1365">
          <cell r="E1365" t="str">
            <v>Total Petroleum Hydrocarbons (TPH) as Motor Oil</v>
          </cell>
          <cell r="F1365" t="str">
            <v>PHCMO</v>
          </cell>
        </row>
        <row r="1366">
          <cell r="E1366" t="str">
            <v>Coliform, Total</v>
          </cell>
          <cell r="F1366" t="str">
            <v>TCOLI</v>
          </cell>
        </row>
        <row r="1367">
          <cell r="E1367" t="str">
            <v>Total Dissolved Solids</v>
          </cell>
          <cell r="F1367" t="str">
            <v>TDS</v>
          </cell>
        </row>
        <row r="1368">
          <cell r="E1368" t="str">
            <v>Total Trihalomethanes</v>
          </cell>
          <cell r="F1368" t="str">
            <v>THM</v>
          </cell>
        </row>
        <row r="1369">
          <cell r="E1369" t="str">
            <v>Nitrogen, Kjeldahl, Total</v>
          </cell>
          <cell r="F1369" t="str">
            <v>TKN</v>
          </cell>
        </row>
        <row r="1370">
          <cell r="E1370" t="str">
            <v>Total Organic Carbon  (TOC)</v>
          </cell>
          <cell r="F1370" t="str">
            <v>TOC</v>
          </cell>
        </row>
        <row r="1371">
          <cell r="E1371" t="str">
            <v>Benzene, Toluene, Ethylbenzene, and Xylenes</v>
          </cell>
          <cell r="F1371" t="str">
            <v>TOTBTEX</v>
          </cell>
        </row>
        <row r="1372">
          <cell r="E1372" t="str">
            <v>Total Polychlorinatedbiphenyls</v>
          </cell>
          <cell r="F1372" t="str">
            <v>TOTPCB</v>
          </cell>
        </row>
        <row r="1373">
          <cell r="E1373" t="str">
            <v>Total Organic Halides (TOX)</v>
          </cell>
          <cell r="F1373" t="str">
            <v>TOX</v>
          </cell>
        </row>
        <row r="1374">
          <cell r="E1374" t="str">
            <v>Total Petroleum Hydrocarbons (TPH) as Aviation Gas</v>
          </cell>
          <cell r="F1374" t="str">
            <v>TPH-AVG</v>
          </cell>
        </row>
        <row r="1375">
          <cell r="E1375" t="str">
            <v>Diesel Range Organics (C12-C24)</v>
          </cell>
          <cell r="F1375" t="str">
            <v>TPH-DRO</v>
          </cell>
        </row>
        <row r="1376">
          <cell r="E1376" t="str">
            <v>Diesel Range Organics, Aliphatic</v>
          </cell>
          <cell r="F1376" t="str">
            <v>TPH-DRO AL</v>
          </cell>
        </row>
        <row r="1377">
          <cell r="E1377" t="str">
            <v>Diesel Range Organics, Aromatic</v>
          </cell>
          <cell r="F1377" t="str">
            <v>TPH-DRO AR</v>
          </cell>
        </row>
        <row r="1378">
          <cell r="E1378" t="str">
            <v>Total Petroleum Hydrocarbons (TPH) as Fuel Oil</v>
          </cell>
          <cell r="F1378" t="str">
            <v>TPH-FUEL</v>
          </cell>
        </row>
        <row r="1379">
          <cell r="E1379" t="str">
            <v>Gasoline and Light Range Organics (C4-C12)</v>
          </cell>
          <cell r="F1379" t="str">
            <v>TPH-GRO</v>
          </cell>
        </row>
        <row r="1380">
          <cell r="E1380" t="str">
            <v>Gasoline Range Organics, Aliphatic</v>
          </cell>
          <cell r="F1380" t="str">
            <v>TPH-GRO AL</v>
          </cell>
        </row>
        <row r="1381">
          <cell r="E1381" t="str">
            <v>Gasoline Range Organics, Aromatic</v>
          </cell>
          <cell r="F1381" t="str">
            <v>TPH-GRO AR</v>
          </cell>
        </row>
        <row r="1382">
          <cell r="E1382" t="str">
            <v>Total Petroleum Hydrocarbons (TPH) as Kerosene</v>
          </cell>
          <cell r="F1382" t="str">
            <v>TPH-KERO</v>
          </cell>
        </row>
        <row r="1383">
          <cell r="E1383" t="str">
            <v>Total Petroleum Hydrocarbons (TPH) as Lube Oil</v>
          </cell>
          <cell r="F1383" t="str">
            <v>TPH-LUBE</v>
          </cell>
        </row>
        <row r="1384">
          <cell r="E1384" t="str">
            <v>Total Petroleum Hydrocarbons (TPH) as Mineral Oil</v>
          </cell>
          <cell r="F1384" t="str">
            <v>TPH-MIN</v>
          </cell>
        </row>
        <row r="1385">
          <cell r="E1385" t="str">
            <v>Total Petroleum Hydrocarbons (TPH) as Stoddard Solvent</v>
          </cell>
          <cell r="F1385" t="str">
            <v>TPH-STOD</v>
          </cell>
        </row>
        <row r="1386">
          <cell r="E1386" t="str">
            <v>Total Volatile Petroleum Hydrocarbons (TVPH)</v>
          </cell>
          <cell r="F1386" t="str">
            <v>TPH-VOL</v>
          </cell>
        </row>
        <row r="1387">
          <cell r="E1387" t="str">
            <v>Petroleum Hydrocarbons, Total Recoverable</v>
          </cell>
          <cell r="F1387" t="str">
            <v>TRPH</v>
          </cell>
        </row>
        <row r="1388">
          <cell r="E1388" t="str">
            <v>Total Solids</v>
          </cell>
          <cell r="F1388" t="str">
            <v>TSOLIDS</v>
          </cell>
        </row>
        <row r="1389">
          <cell r="E1389" t="str">
            <v>Total Suspended Solids</v>
          </cell>
          <cell r="F1389" t="str">
            <v>TSS</v>
          </cell>
        </row>
        <row r="1390">
          <cell r="E1390" t="str">
            <v>Turbidity</v>
          </cell>
          <cell r="F1390" t="str">
            <v>TURB</v>
          </cell>
        </row>
        <row r="1391">
          <cell r="E1391" t="str">
            <v>1,2-Propylene glycol dinitrate</v>
          </cell>
          <cell r="F1391" t="str">
            <v>6423-43-4</v>
          </cell>
        </row>
        <row r="1392">
          <cell r="E1392" t="str">
            <v>2,2-Dichloro-1,1,1-trifluoroethane</v>
          </cell>
          <cell r="F1392" t="str">
            <v>306-83-2</v>
          </cell>
        </row>
        <row r="1393">
          <cell r="E1393" t="str">
            <v>2,4,5-TP (Silvex)</v>
          </cell>
          <cell r="F1393" t="str">
            <v>93-72-1</v>
          </cell>
        </row>
        <row r="1394">
          <cell r="E1394" t="str">
            <v>bis(2-Chloroisopropyl)ether</v>
          </cell>
          <cell r="F1394" t="str">
            <v>108-60-1</v>
          </cell>
        </row>
        <row r="1395">
          <cell r="E1395" t="str">
            <v>Dibenzofuran</v>
          </cell>
          <cell r="F1395" t="str">
            <v>132-64-9</v>
          </cell>
        </row>
        <row r="1396">
          <cell r="E1396" t="str">
            <v>Dibenzothiophene</v>
          </cell>
          <cell r="F1396" t="str">
            <v>132-65-0</v>
          </cell>
        </row>
        <row r="1397">
          <cell r="E1397" t="str">
            <v>Dibromoacetonitrile</v>
          </cell>
          <cell r="F1397" t="str">
            <v>124-48-1</v>
          </cell>
        </row>
        <row r="1398">
          <cell r="E1398" t="str">
            <v>Dibromodichloromethane</v>
          </cell>
          <cell r="F1398" t="str">
            <v>594-18-3</v>
          </cell>
        </row>
        <row r="1399">
          <cell r="E1399" t="str">
            <v>Dibromodifluoromethane</v>
          </cell>
          <cell r="F1399" t="str">
            <v>75-61-6</v>
          </cell>
        </row>
        <row r="1400">
          <cell r="E1400" t="str">
            <v>Dibromofluoromethane</v>
          </cell>
          <cell r="F1400" t="str">
            <v>1868-53-7</v>
          </cell>
        </row>
        <row r="1401">
          <cell r="E1401" t="str">
            <v>Dibromomethane</v>
          </cell>
          <cell r="F1401" t="str">
            <v>74-95-3</v>
          </cell>
        </row>
        <row r="1402">
          <cell r="E1402" t="str">
            <v>Dibutylchlorendate</v>
          </cell>
          <cell r="F1402" t="str">
            <v>1770-80-5</v>
          </cell>
        </row>
        <row r="1403">
          <cell r="E1403" t="str">
            <v>Dibutyltin</v>
          </cell>
          <cell r="F1403" t="str">
            <v>1002-53-5</v>
          </cell>
        </row>
        <row r="1404">
          <cell r="E1404" t="str">
            <v>Dicamba</v>
          </cell>
          <cell r="F1404" t="str">
            <v>1918-00-9</v>
          </cell>
        </row>
        <row r="1405">
          <cell r="E1405" t="str">
            <v>Dichlone</v>
          </cell>
          <cell r="F1405" t="str">
            <v>117-80-6</v>
          </cell>
        </row>
        <row r="1406">
          <cell r="E1406" t="str">
            <v>Dichloroacetic acid</v>
          </cell>
          <cell r="F1406" t="str">
            <v>79-43-6</v>
          </cell>
        </row>
        <row r="1407">
          <cell r="E1407" t="str">
            <v>Dichlorobiphenyl</v>
          </cell>
          <cell r="F1407" t="str">
            <v>25512-42-9</v>
          </cell>
        </row>
        <row r="1408">
          <cell r="E1408" t="str">
            <v>Dichlorodifluoromethane</v>
          </cell>
          <cell r="F1408" t="str">
            <v>75-71-8</v>
          </cell>
        </row>
        <row r="1409">
          <cell r="E1409" t="str">
            <v>Dichlorofluoromethane</v>
          </cell>
          <cell r="F1409" t="str">
            <v>75-43-4</v>
          </cell>
        </row>
        <row r="1410">
          <cell r="E1410" t="str">
            <v>Dichlorovos</v>
          </cell>
          <cell r="F1410" t="str">
            <v>62-73-7</v>
          </cell>
        </row>
        <row r="1411">
          <cell r="E1411" t="str">
            <v>Dichlorprop</v>
          </cell>
          <cell r="F1411" t="str">
            <v>120-36-5</v>
          </cell>
        </row>
        <row r="1412">
          <cell r="E1412" t="str">
            <v>Dicofol</v>
          </cell>
          <cell r="F1412" t="str">
            <v>115-32-2</v>
          </cell>
        </row>
        <row r="1413">
          <cell r="E1413" t="str">
            <v>Dieldrin</v>
          </cell>
          <cell r="F1413" t="str">
            <v>60-57-1</v>
          </cell>
        </row>
        <row r="1414">
          <cell r="E1414" t="str">
            <v>Diquat</v>
          </cell>
          <cell r="F1414" t="str">
            <v>85-00-7</v>
          </cell>
        </row>
        <row r="1415">
          <cell r="E1415" t="str">
            <v>Dissolved Organic Carbon</v>
          </cell>
          <cell r="F1415" t="str">
            <v>DOC</v>
          </cell>
        </row>
        <row r="1416">
          <cell r="E1416" t="str">
            <v>Disulfoton</v>
          </cell>
          <cell r="F1416" t="str">
            <v>298-04-4</v>
          </cell>
        </row>
        <row r="1417">
          <cell r="E1417" t="str">
            <v>Diuron</v>
          </cell>
          <cell r="F1417" t="str">
            <v>330-54-1</v>
          </cell>
        </row>
        <row r="1418">
          <cell r="E1418" t="str">
            <v>Docosane</v>
          </cell>
          <cell r="F1418" t="str">
            <v>629-97-0</v>
          </cell>
        </row>
        <row r="1419">
          <cell r="E1419" t="str">
            <v>Docosanoic acid</v>
          </cell>
          <cell r="F1419" t="str">
            <v>112-85-6</v>
          </cell>
        </row>
        <row r="1420">
          <cell r="E1420" t="str">
            <v>Dodecane</v>
          </cell>
          <cell r="F1420" t="str">
            <v>112-40-3</v>
          </cell>
        </row>
        <row r="1421">
          <cell r="E1421" t="str">
            <v>Dodecanoic acid</v>
          </cell>
          <cell r="F1421" t="str">
            <v>143-07-7</v>
          </cell>
        </row>
        <row r="1422">
          <cell r="E1422" t="str">
            <v>Dysprosium</v>
          </cell>
          <cell r="F1422" t="str">
            <v>7429-91-6</v>
          </cell>
        </row>
        <row r="1423">
          <cell r="E1423" t="str">
            <v>Eicosane</v>
          </cell>
          <cell r="F1423" t="str">
            <v>112-95-8</v>
          </cell>
        </row>
        <row r="1424">
          <cell r="E1424" t="str">
            <v>Endosulfan I</v>
          </cell>
          <cell r="F1424" t="str">
            <v>959-98-8</v>
          </cell>
        </row>
        <row r="1425">
          <cell r="E1425" t="str">
            <v>Endosulfan II</v>
          </cell>
          <cell r="F1425" t="str">
            <v>33213-65-9</v>
          </cell>
        </row>
        <row r="1426">
          <cell r="E1426" t="str">
            <v>Endosulfan sulfate</v>
          </cell>
          <cell r="F1426" t="str">
            <v>1031-07-8</v>
          </cell>
        </row>
        <row r="1427">
          <cell r="E1427" t="str">
            <v>Endosulfan, Total</v>
          </cell>
          <cell r="F1427" t="str">
            <v>115-29-7</v>
          </cell>
        </row>
        <row r="1428">
          <cell r="E1428" t="str">
            <v>Endothal</v>
          </cell>
          <cell r="F1428" t="str">
            <v>145-73-3</v>
          </cell>
        </row>
        <row r="1429">
          <cell r="E1429" t="str">
            <v>Endrin</v>
          </cell>
          <cell r="F1429" t="str">
            <v>72-20-8</v>
          </cell>
        </row>
        <row r="1430">
          <cell r="E1430" t="str">
            <v>Endrin aldehyde</v>
          </cell>
          <cell r="F1430" t="str">
            <v>7421-93-4</v>
          </cell>
        </row>
        <row r="1431">
          <cell r="E1431" t="str">
            <v>Endrin ketone</v>
          </cell>
          <cell r="F1431" t="str">
            <v>53494-70-5</v>
          </cell>
        </row>
        <row r="1432">
          <cell r="E1432" t="str">
            <v>Epichlorhydrin</v>
          </cell>
          <cell r="F1432" t="str">
            <v>106-89-8</v>
          </cell>
        </row>
        <row r="1433">
          <cell r="E1433" t="str">
            <v>EPN (O-Ethyl phenyl (p-nitrophenyl) thiophosphonate)</v>
          </cell>
          <cell r="F1433" t="str">
            <v>2104-64-5</v>
          </cell>
        </row>
        <row r="1434">
          <cell r="E1434" t="str">
            <v>Ethane</v>
          </cell>
          <cell r="F1434" t="str">
            <v>74-84-0</v>
          </cell>
        </row>
        <row r="1435">
          <cell r="E1435" t="str">
            <v>Ethanol (EtOH)</v>
          </cell>
          <cell r="F1435" t="str">
            <v>64-17-5</v>
          </cell>
        </row>
        <row r="1436">
          <cell r="E1436" t="str">
            <v>Ethion</v>
          </cell>
          <cell r="F1436" t="str">
            <v>563-12-2</v>
          </cell>
        </row>
        <row r="1437">
          <cell r="E1437" t="str">
            <v>Ethoprop</v>
          </cell>
          <cell r="F1437" t="str">
            <v>13194-48-4</v>
          </cell>
        </row>
        <row r="1438">
          <cell r="E1438" t="str">
            <v>Europium-152</v>
          </cell>
          <cell r="F1438" t="str">
            <v>14683-23-9</v>
          </cell>
        </row>
        <row r="1439">
          <cell r="E1439" t="str">
            <v>Europium-154</v>
          </cell>
          <cell r="F1439" t="str">
            <v>15585-10-1</v>
          </cell>
        </row>
        <row r="1440">
          <cell r="E1440" t="str">
            <v>Europium-155</v>
          </cell>
          <cell r="F1440" t="str">
            <v>14391-16-3</v>
          </cell>
        </row>
        <row r="1441">
          <cell r="E1441" t="str">
            <v>Famphur</v>
          </cell>
          <cell r="F1441" t="str">
            <v>52-85-7</v>
          </cell>
        </row>
        <row r="1442">
          <cell r="E1442" t="str">
            <v>Fecal Coliform</v>
          </cell>
          <cell r="F1442" t="str">
            <v>FCOLI</v>
          </cell>
        </row>
        <row r="1443">
          <cell r="E1443" t="str">
            <v>Fensulfothion</v>
          </cell>
          <cell r="F1443" t="str">
            <v>115-90-2</v>
          </cell>
        </row>
        <row r="1444">
          <cell r="E1444" t="str">
            <v>Fenthion</v>
          </cell>
          <cell r="F1444" t="str">
            <v>55-38-9</v>
          </cell>
        </row>
        <row r="1445">
          <cell r="E1445" t="str">
            <v>Fenuron</v>
          </cell>
          <cell r="F1445" t="str">
            <v>101-42-8</v>
          </cell>
        </row>
        <row r="1446">
          <cell r="E1446" t="str">
            <v>Flash Point</v>
          </cell>
          <cell r="F1446" t="str">
            <v>FLASHPT</v>
          </cell>
        </row>
        <row r="1447">
          <cell r="E1447" t="str">
            <v>Fluchloralin</v>
          </cell>
          <cell r="F1447" t="str">
            <v>33245-39-5</v>
          </cell>
        </row>
        <row r="1448">
          <cell r="E1448" t="str">
            <v>Fluometuron</v>
          </cell>
          <cell r="F1448" t="str">
            <v>2164-17-2</v>
          </cell>
        </row>
        <row r="1449">
          <cell r="E1449" t="str">
            <v>Fluoranthene</v>
          </cell>
          <cell r="F1449" t="str">
            <v>206-44-0</v>
          </cell>
        </row>
        <row r="1450">
          <cell r="E1450" t="str">
            <v>Fluorene</v>
          </cell>
          <cell r="F1450" t="str">
            <v>86-73-7</v>
          </cell>
        </row>
        <row r="1451">
          <cell r="E1451" t="str">
            <v>Fluoride</v>
          </cell>
          <cell r="F1451" t="str">
            <v>16984-48-8</v>
          </cell>
        </row>
        <row r="1452">
          <cell r="E1452" t="str">
            <v>Fluorine (soluble fluoride)</v>
          </cell>
          <cell r="F1452" t="str">
            <v>7782-41-4</v>
          </cell>
        </row>
        <row r="1453">
          <cell r="E1453" t="str">
            <v>Fluoroacetic acid</v>
          </cell>
          <cell r="F1453" t="str">
            <v>144-49-0</v>
          </cell>
        </row>
        <row r="1454">
          <cell r="E1454" t="str">
            <v>Fluorobenzene</v>
          </cell>
          <cell r="F1454" t="str">
            <v>462-06-6</v>
          </cell>
        </row>
        <row r="1455">
          <cell r="E1455" t="str">
            <v>Folpet</v>
          </cell>
          <cell r="F1455" t="str">
            <v>133-07-3</v>
          </cell>
        </row>
        <row r="1456">
          <cell r="E1456" t="str">
            <v>Formaldehyde</v>
          </cell>
          <cell r="F1456" t="str">
            <v>50-00-0</v>
          </cell>
        </row>
        <row r="1457">
          <cell r="E1457" t="str">
            <v>Formic acid</v>
          </cell>
          <cell r="F1457" t="str">
            <v>64-18-6</v>
          </cell>
        </row>
        <row r="1458">
          <cell r="E1458" t="str">
            <v>Furfural</v>
          </cell>
          <cell r="F1458" t="str">
            <v>98-01-1</v>
          </cell>
        </row>
        <row r="1459">
          <cell r="E1459" t="str">
            <v>Gadolinium-153</v>
          </cell>
          <cell r="F1459" t="str">
            <v>7440-54-2</v>
          </cell>
        </row>
        <row r="1460">
          <cell r="E1460" t="str">
            <v>gamma-BHC (Lindane)</v>
          </cell>
          <cell r="F1460" t="str">
            <v>58-89-9</v>
          </cell>
        </row>
        <row r="1461">
          <cell r="E1461" t="str">
            <v>gamma-Chlordane</v>
          </cell>
          <cell r="F1461" t="str">
            <v>5566-34-7</v>
          </cell>
        </row>
        <row r="1462">
          <cell r="E1462" t="str">
            <v>Gold</v>
          </cell>
          <cell r="F1462" t="str">
            <v>7440-57-5</v>
          </cell>
        </row>
        <row r="1463">
          <cell r="E1463" t="str">
            <v>Hardness as CaCO3</v>
          </cell>
          <cell r="F1463" t="str">
            <v>HARDNESS</v>
          </cell>
        </row>
        <row r="1464">
          <cell r="E1464" t="str">
            <v>Helium</v>
          </cell>
          <cell r="F1464" t="str">
            <v>7440-59-7</v>
          </cell>
        </row>
        <row r="1465">
          <cell r="E1465" t="str">
            <v>Heneicosane</v>
          </cell>
          <cell r="F1465" t="str">
            <v>629-94-7</v>
          </cell>
        </row>
        <row r="1466">
          <cell r="E1466" t="str">
            <v>Heptachlor</v>
          </cell>
          <cell r="F1466" t="str">
            <v>76-44-8</v>
          </cell>
        </row>
        <row r="1467">
          <cell r="E1467" t="str">
            <v>Heptachlor epoxide</v>
          </cell>
          <cell r="F1467" t="str">
            <v>1024-57-3</v>
          </cell>
        </row>
        <row r="1468">
          <cell r="E1468" t="str">
            <v>Heptachlorobiphenyl</v>
          </cell>
          <cell r="F1468" t="str">
            <v>28655-71-2</v>
          </cell>
        </row>
        <row r="1469">
          <cell r="E1469" t="str">
            <v>Heptacosane</v>
          </cell>
          <cell r="F1469" t="str">
            <v>593-49-7</v>
          </cell>
        </row>
        <row r="1470">
          <cell r="E1470" t="str">
            <v>Heptadecane</v>
          </cell>
          <cell r="F1470" t="str">
            <v>629-78-7</v>
          </cell>
        </row>
        <row r="1471">
          <cell r="E1471" t="str">
            <v>Heptanal</v>
          </cell>
          <cell r="F1471" t="str">
            <v>111-71-7</v>
          </cell>
        </row>
        <row r="1472">
          <cell r="E1472" t="str">
            <v>Heptane</v>
          </cell>
          <cell r="F1472" t="str">
            <v>142-82-5</v>
          </cell>
        </row>
        <row r="1473">
          <cell r="E1473" t="str">
            <v>Hexabromobenzene</v>
          </cell>
          <cell r="F1473" t="str">
            <v>87-82-1</v>
          </cell>
        </row>
        <row r="1474">
          <cell r="E1474" t="str">
            <v>Hexachlorobenzene</v>
          </cell>
          <cell r="F1474" t="str">
            <v>118-74-1</v>
          </cell>
        </row>
        <row r="1475">
          <cell r="E1475" t="str">
            <v>Hexachlorobiphenyl</v>
          </cell>
          <cell r="F1475" t="str">
            <v>26601-64-9</v>
          </cell>
        </row>
        <row r="1476">
          <cell r="E1476" t="str">
            <v>Hexachlorobutadiene</v>
          </cell>
          <cell r="F1476" t="str">
            <v>87-68-3</v>
          </cell>
        </row>
        <row r="1477">
          <cell r="E1477" t="str">
            <v>Hexachlorocyclopentadiene</v>
          </cell>
          <cell r="F1477" t="str">
            <v>77-47-4</v>
          </cell>
        </row>
        <row r="1478">
          <cell r="E1478" t="str">
            <v>Hexachloroethane</v>
          </cell>
          <cell r="F1478" t="str">
            <v>67-72-1</v>
          </cell>
        </row>
        <row r="1479">
          <cell r="E1479" t="str">
            <v>Hexachlorophene</v>
          </cell>
          <cell r="F1479" t="str">
            <v>70-30-4</v>
          </cell>
        </row>
        <row r="1480">
          <cell r="E1480" t="str">
            <v>Hexachloropropene</v>
          </cell>
          <cell r="F1480" t="str">
            <v>1888-71-7</v>
          </cell>
        </row>
        <row r="1481">
          <cell r="E1481" t="str">
            <v>Hexacosane</v>
          </cell>
          <cell r="F1481" t="str">
            <v>630-01-3</v>
          </cell>
        </row>
        <row r="1482">
          <cell r="E1482" t="str">
            <v>Hexadecane</v>
          </cell>
          <cell r="F1482" t="str">
            <v>544-76-3</v>
          </cell>
        </row>
        <row r="1483">
          <cell r="E1483" t="str">
            <v>Hexadecanoic acid</v>
          </cell>
          <cell r="F1483" t="str">
            <v>57-10-3</v>
          </cell>
        </row>
        <row r="1484">
          <cell r="E1484" t="str">
            <v>Hexanal</v>
          </cell>
          <cell r="F1484" t="str">
            <v>66-25-1</v>
          </cell>
        </row>
        <row r="1485">
          <cell r="E1485" t="str">
            <v>Hexane</v>
          </cell>
          <cell r="F1485" t="str">
            <v>110-54-3</v>
          </cell>
        </row>
        <row r="1486">
          <cell r="E1486" t="str">
            <v>Hexanoic Acid</v>
          </cell>
          <cell r="F1486" t="str">
            <v>142-62-1</v>
          </cell>
        </row>
        <row r="1487">
          <cell r="E1487" t="str">
            <v>Methyl-2,4,6-trinitrophenylnitramine</v>
          </cell>
          <cell r="F1487" t="str">
            <v>479-45-8</v>
          </cell>
        </row>
        <row r="1488">
          <cell r="E1488" t="str">
            <v>Naphthalene, 1,2,3,4-tetrahydro-</v>
          </cell>
          <cell r="F1488" t="str">
            <v>119-64-2</v>
          </cell>
        </row>
        <row r="1489">
          <cell r="E1489" t="str">
            <v>n-Propylamine</v>
          </cell>
          <cell r="F1489" t="str">
            <v>107-10-8</v>
          </cell>
        </row>
        <row r="1490">
          <cell r="E1490" t="str">
            <v>n-Propylbenzene</v>
          </cell>
          <cell r="F1490" t="str">
            <v>103-65-1</v>
          </cell>
        </row>
        <row r="1491">
          <cell r="E1491" t="str">
            <v>Oxygen, Dissolved</v>
          </cell>
          <cell r="F1491" t="str">
            <v>DO</v>
          </cell>
        </row>
        <row r="1492">
          <cell r="E1492" t="str">
            <v>PBDE-100</v>
          </cell>
          <cell r="F1492" t="str">
            <v>189084-64-8</v>
          </cell>
        </row>
        <row r="1493">
          <cell r="E1493" t="str">
            <v>PBDE-138</v>
          </cell>
          <cell r="F1493" t="str">
            <v>182677-30-1</v>
          </cell>
        </row>
        <row r="1494">
          <cell r="E1494" t="str">
            <v>PBDE-153</v>
          </cell>
          <cell r="F1494" t="str">
            <v>68631-49-2</v>
          </cell>
        </row>
        <row r="1495">
          <cell r="E1495" t="str">
            <v>PBDE-154</v>
          </cell>
          <cell r="F1495" t="str">
            <v>207122-15-4</v>
          </cell>
        </row>
        <row r="1496">
          <cell r="E1496" t="str">
            <v>PBDE-17</v>
          </cell>
          <cell r="F1496" t="str">
            <v>147217-75-2</v>
          </cell>
        </row>
        <row r="1497">
          <cell r="E1497" t="str">
            <v>PBDE-183</v>
          </cell>
          <cell r="F1497" t="str">
            <v>147217-75-3</v>
          </cell>
        </row>
        <row r="1498">
          <cell r="E1498" t="str">
            <v>PBDE-28</v>
          </cell>
          <cell r="F1498" t="str">
            <v>41318-75-6</v>
          </cell>
        </row>
        <row r="1499">
          <cell r="E1499" t="str">
            <v>PBDE-47</v>
          </cell>
          <cell r="F1499" t="str">
            <v>5436-43-1</v>
          </cell>
        </row>
        <row r="1500">
          <cell r="E1500" t="str">
            <v>PBDE-66</v>
          </cell>
          <cell r="F1500" t="str">
            <v>189084-61-5</v>
          </cell>
        </row>
        <row r="1501">
          <cell r="E1501" t="str">
            <v>PBDE-71</v>
          </cell>
          <cell r="F1501" t="str">
            <v>189084-62-6</v>
          </cell>
        </row>
        <row r="1502">
          <cell r="E1502" t="str">
            <v>PBDE-85</v>
          </cell>
          <cell r="F1502" t="str">
            <v>182346-21-0</v>
          </cell>
        </row>
        <row r="1503">
          <cell r="E1503" t="str">
            <v>PBDE-99</v>
          </cell>
          <cell r="F1503" t="str">
            <v>60348-60-9</v>
          </cell>
        </row>
        <row r="1504">
          <cell r="E1504" t="str">
            <v>Phosphoric acid</v>
          </cell>
          <cell r="F1504" t="str">
            <v>7664-38-2</v>
          </cell>
        </row>
        <row r="1505">
          <cell r="E1505" t="str">
            <v>Platinum</v>
          </cell>
          <cell r="F1505" t="str">
            <v>7440-06-4</v>
          </cell>
        </row>
        <row r="1506">
          <cell r="E1506" t="str">
            <v>Plutonium-239</v>
          </cell>
          <cell r="F1506" t="str">
            <v>15117-48-3</v>
          </cell>
        </row>
        <row r="1507">
          <cell r="E1507" t="str">
            <v>Potassium</v>
          </cell>
          <cell r="F1507" t="str">
            <v>7440-09-7</v>
          </cell>
        </row>
        <row r="1508">
          <cell r="E1508" t="str">
            <v>Potassium-40</v>
          </cell>
          <cell r="F1508" t="str">
            <v>13966-00-2</v>
          </cell>
        </row>
        <row r="1509">
          <cell r="E1509" t="str">
            <v>Prometon</v>
          </cell>
          <cell r="F1509" t="str">
            <v>1610-18-0</v>
          </cell>
        </row>
        <row r="1510">
          <cell r="E1510" t="str">
            <v>Pronamide</v>
          </cell>
          <cell r="F1510" t="str">
            <v>23950-58-5</v>
          </cell>
        </row>
        <row r="1511">
          <cell r="E1511" t="str">
            <v>Propachlor</v>
          </cell>
          <cell r="F1511" t="str">
            <v>1918-16-7</v>
          </cell>
        </row>
        <row r="1512">
          <cell r="E1512" t="str">
            <v>Propanal</v>
          </cell>
          <cell r="F1512" t="str">
            <v>123-38-6</v>
          </cell>
        </row>
        <row r="1513">
          <cell r="E1513" t="str">
            <v>Propane</v>
          </cell>
          <cell r="F1513" t="str">
            <v>74-98-6</v>
          </cell>
        </row>
        <row r="1514">
          <cell r="E1514" t="str">
            <v>Propargite</v>
          </cell>
          <cell r="F1514" t="str">
            <v>2312-35-8</v>
          </cell>
        </row>
        <row r="1515">
          <cell r="E1515" t="str">
            <v>Propazine</v>
          </cell>
          <cell r="F1515" t="str">
            <v>139-40-2</v>
          </cell>
        </row>
        <row r="1516">
          <cell r="E1516" t="str">
            <v>Propham</v>
          </cell>
          <cell r="F1516" t="str">
            <v>122-42-9</v>
          </cell>
        </row>
        <row r="1517">
          <cell r="E1517" t="str">
            <v>Propionitrile</v>
          </cell>
          <cell r="F1517" t="str">
            <v>107-12-0</v>
          </cell>
        </row>
        <row r="1518">
          <cell r="E1518" t="str">
            <v>Propylene</v>
          </cell>
          <cell r="F1518" t="str">
            <v>115-07-1</v>
          </cell>
        </row>
        <row r="1519">
          <cell r="E1519" t="str">
            <v>Propylene glycol</v>
          </cell>
          <cell r="F1519" t="str">
            <v>57-55-6</v>
          </cell>
        </row>
        <row r="1520">
          <cell r="E1520" t="str">
            <v>Propylene oxide</v>
          </cell>
          <cell r="F1520" t="str">
            <v>75-56-9</v>
          </cell>
        </row>
        <row r="1521">
          <cell r="E1521" t="str">
            <v>Propylthiouracil</v>
          </cell>
          <cell r="F1521" t="str">
            <v>51-52-5</v>
          </cell>
        </row>
        <row r="1522">
          <cell r="E1522" t="str">
            <v>Protactinium-234</v>
          </cell>
          <cell r="F1522" t="str">
            <v>15100-28-4</v>
          </cell>
        </row>
        <row r="1523">
          <cell r="E1523" t="str">
            <v>p-Terphenyl</v>
          </cell>
          <cell r="F1523" t="str">
            <v>92-94-4</v>
          </cell>
        </row>
        <row r="1524">
          <cell r="E1524" t="str">
            <v>p-Toluidine</v>
          </cell>
          <cell r="F1524" t="str">
            <v>106-49-0</v>
          </cell>
        </row>
        <row r="1525">
          <cell r="E1525" t="str">
            <v>p-Xylene</v>
          </cell>
          <cell r="F1525" t="str">
            <v>106-42-3</v>
          </cell>
        </row>
        <row r="1526">
          <cell r="E1526" t="str">
            <v>Pyrene</v>
          </cell>
          <cell r="F1526" t="str">
            <v>129-00-0</v>
          </cell>
        </row>
        <row r="1527">
          <cell r="E1527" t="str">
            <v>Pyridine</v>
          </cell>
          <cell r="F1527" t="str">
            <v>110-86-1</v>
          </cell>
        </row>
        <row r="1528">
          <cell r="E1528" t="str">
            <v>Pyruvic Acid</v>
          </cell>
          <cell r="F1528" t="str">
            <v>127-17-3</v>
          </cell>
        </row>
        <row r="1529">
          <cell r="E1529" t="str">
            <v>Radium</v>
          </cell>
          <cell r="F1529" t="str">
            <v>7440-14-4</v>
          </cell>
        </row>
        <row r="1530">
          <cell r="E1530" t="str">
            <v>Radium-224</v>
          </cell>
          <cell r="F1530" t="str">
            <v>13233-32-4</v>
          </cell>
        </row>
        <row r="1531">
          <cell r="E1531" t="str">
            <v>Radium-226</v>
          </cell>
          <cell r="F1531" t="str">
            <v>13982-63-3</v>
          </cell>
        </row>
        <row r="1532">
          <cell r="E1532" t="str">
            <v>Radium-228</v>
          </cell>
          <cell r="F1532" t="str">
            <v>15262-20-1</v>
          </cell>
        </row>
        <row r="1533">
          <cell r="E1533" t="str">
            <v>Radon-219</v>
          </cell>
          <cell r="F1533" t="str">
            <v>10043-92-2</v>
          </cell>
        </row>
        <row r="1534">
          <cell r="E1534" t="str">
            <v>Radon-222</v>
          </cell>
          <cell r="F1534" t="str">
            <v>14859-67-7</v>
          </cell>
        </row>
        <row r="1535">
          <cell r="E1535" t="str">
            <v>Ronnel</v>
          </cell>
          <cell r="F1535" t="str">
            <v>299-84-3</v>
          </cell>
        </row>
        <row r="1536">
          <cell r="E1536" t="str">
            <v>Rotenone</v>
          </cell>
          <cell r="F1536" t="str">
            <v>83-79-4</v>
          </cell>
        </row>
        <row r="1537">
          <cell r="E1537" t="str">
            <v>Ruthenium-106</v>
          </cell>
          <cell r="F1537" t="str">
            <v>13967-48-1</v>
          </cell>
        </row>
        <row r="1538">
          <cell r="E1538" t="str">
            <v>Safrole</v>
          </cell>
          <cell r="F1538" t="str">
            <v>94-59-7</v>
          </cell>
        </row>
        <row r="1539">
          <cell r="E1539" t="str">
            <v>Salinity</v>
          </cell>
          <cell r="F1539" t="str">
            <v>SAL</v>
          </cell>
        </row>
        <row r="1540">
          <cell r="E1540" t="str">
            <v>Scandium</v>
          </cell>
          <cell r="F1540" t="str">
            <v>13967-63-0</v>
          </cell>
        </row>
        <row r="1541">
          <cell r="E1541" t="str">
            <v>sec-Butylbenzene</v>
          </cell>
          <cell r="F1541" t="str">
            <v>135-98-8</v>
          </cell>
        </row>
        <row r="1542">
          <cell r="E1542" t="str">
            <v>Selenium</v>
          </cell>
          <cell r="F1542" t="str">
            <v>7782-49-2</v>
          </cell>
        </row>
        <row r="1543">
          <cell r="E1543" t="str">
            <v>Settleable Matter</v>
          </cell>
          <cell r="F1543" t="str">
            <v>SS</v>
          </cell>
        </row>
        <row r="1544">
          <cell r="E1544" t="str">
            <v>Siduron</v>
          </cell>
          <cell r="F1544" t="str">
            <v>1982-49-6</v>
          </cell>
        </row>
        <row r="1545">
          <cell r="E1545" t="str">
            <v>Silica</v>
          </cell>
          <cell r="F1545" t="str">
            <v>7631-86-9</v>
          </cell>
        </row>
        <row r="1546">
          <cell r="E1546" t="str">
            <v>Silicon</v>
          </cell>
          <cell r="F1546" t="str">
            <v>7440-21-3</v>
          </cell>
        </row>
        <row r="1547">
          <cell r="E1547" t="str">
            <v>Silver</v>
          </cell>
          <cell r="F1547" t="str">
            <v>7440-22-4</v>
          </cell>
        </row>
        <row r="1548">
          <cell r="E1548" t="str">
            <v>Simazine</v>
          </cell>
          <cell r="F1548" t="str">
            <v>122-34-9</v>
          </cell>
        </row>
        <row r="1549">
          <cell r="E1549" t="str">
            <v>Simetryn</v>
          </cell>
          <cell r="F1549" t="str">
            <v>1014-70-6</v>
          </cell>
        </row>
        <row r="1550">
          <cell r="E1550" t="str">
            <v>Sodium</v>
          </cell>
          <cell r="F1550" t="str">
            <v>7440-23-5</v>
          </cell>
        </row>
        <row r="1551">
          <cell r="E1551" t="str">
            <v>Sodium-22</v>
          </cell>
          <cell r="F1551" t="str">
            <v>13966-32-0</v>
          </cell>
        </row>
        <row r="1552">
          <cell r="E1552" t="str">
            <v>Specific Conductance</v>
          </cell>
          <cell r="F1552" t="str">
            <v>SC</v>
          </cell>
        </row>
        <row r="1553">
          <cell r="E1553" t="str">
            <v>Strontium</v>
          </cell>
          <cell r="F1553" t="str">
            <v>7440-24-6</v>
          </cell>
        </row>
        <row r="1554">
          <cell r="E1554" t="str">
            <v>Strontium-85</v>
          </cell>
          <cell r="F1554" t="str">
            <v>13967-73-2</v>
          </cell>
        </row>
        <row r="1555">
          <cell r="E1555" t="str">
            <v>Strontium-90</v>
          </cell>
          <cell r="F1555" t="str">
            <v>10098-97-2</v>
          </cell>
        </row>
        <row r="1556">
          <cell r="E1556" t="str">
            <v>Strychnine</v>
          </cell>
          <cell r="F1556" t="str">
            <v>57-24-9</v>
          </cell>
        </row>
        <row r="1557">
          <cell r="E1557" t="str">
            <v>Styrene</v>
          </cell>
          <cell r="F1557" t="str">
            <v>100-42-5</v>
          </cell>
        </row>
        <row r="1558">
          <cell r="E1558" t="str">
            <v>Sulfallate</v>
          </cell>
          <cell r="F1558" t="str">
            <v>95-06-7</v>
          </cell>
        </row>
        <row r="1559">
          <cell r="E1559" t="str">
            <v>Sulfate</v>
          </cell>
          <cell r="F1559" t="str">
            <v>14808-79-8</v>
          </cell>
        </row>
        <row r="1560">
          <cell r="E1560" t="str">
            <v>Sulfide</v>
          </cell>
          <cell r="F1560" t="str">
            <v>18496-25-8</v>
          </cell>
        </row>
        <row r="1561">
          <cell r="E1561" t="str">
            <v>Sulfite</v>
          </cell>
          <cell r="F1561" t="str">
            <v>14265-45-3</v>
          </cell>
        </row>
        <row r="1562">
          <cell r="E1562" t="str">
            <v>Sulfotep</v>
          </cell>
          <cell r="F1562" t="str">
            <v>3689-24-5</v>
          </cell>
        </row>
        <row r="1563">
          <cell r="E1563" t="str">
            <v>Sulfur</v>
          </cell>
          <cell r="F1563" t="str">
            <v>7704-34-9</v>
          </cell>
        </row>
        <row r="1564">
          <cell r="E1564" t="str">
            <v>Sulfur Dioxide</v>
          </cell>
          <cell r="F1564" t="str">
            <v>7446-09-5</v>
          </cell>
        </row>
        <row r="1565">
          <cell r="E1565" t="str">
            <v>Sulfuric Acid</v>
          </cell>
          <cell r="F1565" t="str">
            <v>7664-93-9</v>
          </cell>
        </row>
        <row r="1566">
          <cell r="E1566" t="str">
            <v>Tebuthiuron</v>
          </cell>
          <cell r="F1566" t="str">
            <v>34014-18-1</v>
          </cell>
        </row>
        <row r="1567">
          <cell r="E1567" t="str">
            <v>Tellurium</v>
          </cell>
          <cell r="F1567" t="str">
            <v>13494-80-9</v>
          </cell>
        </row>
        <row r="1568">
          <cell r="E1568" t="str">
            <v>Temephos</v>
          </cell>
          <cell r="F1568" t="str">
            <v>3383-96-8</v>
          </cell>
        </row>
        <row r="1569">
          <cell r="E1569" t="str">
            <v>Temperature</v>
          </cell>
          <cell r="F1569" t="str">
            <v>TEMP</v>
          </cell>
        </row>
        <row r="1570">
          <cell r="E1570" t="str">
            <v>Terbacil</v>
          </cell>
          <cell r="F1570" t="str">
            <v>5902-51-2</v>
          </cell>
        </row>
        <row r="1571">
          <cell r="E1571" t="str">
            <v>Terbufos</v>
          </cell>
          <cell r="F1571" t="str">
            <v>13071-79-9</v>
          </cell>
        </row>
        <row r="1572">
          <cell r="E1572" t="str">
            <v>Terbutryn</v>
          </cell>
          <cell r="F1572" t="str">
            <v>886-50-0</v>
          </cell>
        </row>
        <row r="1573">
          <cell r="E1573" t="str">
            <v>Terphenyl-d14</v>
          </cell>
          <cell r="F1573" t="str">
            <v>1718-51-0</v>
          </cell>
        </row>
        <row r="1574">
          <cell r="E1574" t="str">
            <v>tert-Amyl methyl ether (TAME)</v>
          </cell>
          <cell r="F1574" t="str">
            <v>994-05-8</v>
          </cell>
        </row>
        <row r="1575">
          <cell r="E1575" t="str">
            <v>tert-Butyl alcohol (TBA)</v>
          </cell>
          <cell r="F1575" t="str">
            <v>75-65-0</v>
          </cell>
        </row>
        <row r="1576">
          <cell r="E1576" t="str">
            <v>tert-Butyl formate (TBF)</v>
          </cell>
          <cell r="F1576" t="str">
            <v>762-75-4</v>
          </cell>
        </row>
        <row r="1577">
          <cell r="E1577" t="str">
            <v>tert-Butylbenzene</v>
          </cell>
          <cell r="F1577" t="str">
            <v>98-06-6</v>
          </cell>
        </row>
        <row r="1578">
          <cell r="E1578" t="str">
            <v>Tetrabutyltin</v>
          </cell>
          <cell r="F1578" t="str">
            <v>1461-25-2</v>
          </cell>
        </row>
        <row r="1579">
          <cell r="E1579" t="str">
            <v>Tetrachlorobiphenyl</v>
          </cell>
          <cell r="F1579" t="str">
            <v>26914-33-0</v>
          </cell>
        </row>
        <row r="1580">
          <cell r="E1580" t="str">
            <v>Tetrachloroethene (PCE)</v>
          </cell>
          <cell r="F1580" t="str">
            <v>127-18-4</v>
          </cell>
        </row>
        <row r="1581">
          <cell r="E1581" t="str">
            <v>Tetrachloro-m-xylene</v>
          </cell>
          <cell r="F1581" t="str">
            <v>877-09-8</v>
          </cell>
        </row>
        <row r="1582">
          <cell r="E1582" t="str">
            <v>Tetrachlorvinphos (Stirophos)</v>
          </cell>
          <cell r="F1582" t="str">
            <v>22248-79-9</v>
          </cell>
        </row>
        <row r="1583">
          <cell r="E1583" t="str">
            <v>Tetracosane</v>
          </cell>
          <cell r="F1583" t="str">
            <v>646-31-1</v>
          </cell>
        </row>
        <row r="1584">
          <cell r="E1584" t="str">
            <v>Tetracosanoic acid</v>
          </cell>
          <cell r="F1584" t="str">
            <v>544-63-8</v>
          </cell>
        </row>
        <row r="1585">
          <cell r="E1585" t="str">
            <v>Tetraethyl lead</v>
          </cell>
          <cell r="F1585" t="str">
            <v>78-00-2</v>
          </cell>
        </row>
        <row r="1586">
          <cell r="E1586" t="str">
            <v>Tetraethyl pyrophosphate</v>
          </cell>
          <cell r="F1586" t="str">
            <v>107-49-3</v>
          </cell>
        </row>
        <row r="1587">
          <cell r="E1587" t="str">
            <v>Tetraethylene glycol</v>
          </cell>
          <cell r="F1587" t="str">
            <v>112-60-7</v>
          </cell>
        </row>
        <row r="1588">
          <cell r="E1588" t="str">
            <v>Tetrahydrofuran</v>
          </cell>
          <cell r="F1588" t="str">
            <v>109-99-9</v>
          </cell>
        </row>
        <row r="1589">
          <cell r="E1589" t="str">
            <v>Tetrahydrothiophene</v>
          </cell>
          <cell r="F1589" t="str">
            <v>110-01-0</v>
          </cell>
        </row>
        <row r="1590">
          <cell r="E1590" t="str">
            <v>Tetramethyl Lead</v>
          </cell>
          <cell r="F1590" t="str">
            <v>75-74-1</v>
          </cell>
        </row>
        <row r="1591">
          <cell r="E1591" t="str">
            <v>Tetratriacontane</v>
          </cell>
          <cell r="F1591" t="str">
            <v>14167-59-0</v>
          </cell>
        </row>
        <row r="1592">
          <cell r="E1592" t="str">
            <v>Thallium</v>
          </cell>
          <cell r="F1592" t="str">
            <v>7440-28-0</v>
          </cell>
        </row>
        <row r="1593">
          <cell r="E1593" t="str">
            <v>Thallium-208</v>
          </cell>
          <cell r="F1593" t="str">
            <v>14913-50-9</v>
          </cell>
        </row>
        <row r="1594">
          <cell r="E1594" t="str">
            <v>Thiobencarb</v>
          </cell>
          <cell r="F1594" t="str">
            <v>28249-77-6</v>
          </cell>
        </row>
        <row r="1595">
          <cell r="E1595" t="str">
            <v>Thiodiglycol</v>
          </cell>
          <cell r="F1595" t="str">
            <v>111-48-8</v>
          </cell>
        </row>
        <row r="1596">
          <cell r="E1596" t="str">
            <v>Thionazine</v>
          </cell>
          <cell r="F1596" t="str">
            <v>297-97-2</v>
          </cell>
        </row>
        <row r="1597">
          <cell r="E1597" t="str">
            <v>Thiophene</v>
          </cell>
          <cell r="F1597" t="str">
            <v>110-02-1</v>
          </cell>
        </row>
        <row r="1598">
          <cell r="E1598" t="str">
            <v>Thiophenol (Benzenethiol)</v>
          </cell>
          <cell r="F1598" t="str">
            <v>108-98-5</v>
          </cell>
        </row>
        <row r="1599">
          <cell r="E1599" t="str">
            <v>Thiram</v>
          </cell>
          <cell r="F1599" t="str">
            <v>137-26-8</v>
          </cell>
        </row>
        <row r="1600">
          <cell r="E1600" t="str">
            <v>Thorium-227</v>
          </cell>
          <cell r="F1600" t="str">
            <v>15623-47-9</v>
          </cell>
        </row>
        <row r="1601">
          <cell r="E1601" t="str">
            <v>Thorium-228</v>
          </cell>
          <cell r="F1601" t="str">
            <v>14274-82-9</v>
          </cell>
        </row>
        <row r="1602">
          <cell r="E1602" t="str">
            <v>Thorium-230</v>
          </cell>
          <cell r="F1602" t="str">
            <v>14269-63-7</v>
          </cell>
        </row>
        <row r="1603">
          <cell r="E1603" t="str">
            <v>Thorium-232</v>
          </cell>
          <cell r="F1603" t="str">
            <v>7440-29-1</v>
          </cell>
        </row>
        <row r="1604">
          <cell r="E1604" t="str">
            <v>Thorium-234</v>
          </cell>
          <cell r="F1604" t="str">
            <v>15065-10-8</v>
          </cell>
        </row>
        <row r="1605">
          <cell r="E1605" t="str">
            <v>Tin</v>
          </cell>
          <cell r="F1605" t="str">
            <v>7440-31-5</v>
          </cell>
        </row>
        <row r="1606">
          <cell r="E1606" t="str">
            <v>Urea</v>
          </cell>
          <cell r="F1606" t="str">
            <v>62-56-6</v>
          </cell>
        </row>
        <row r="1607">
          <cell r="E1607" t="str">
            <v>9H-Fluorene, 2-methyl-</v>
          </cell>
          <cell r="F1607" t="str">
            <v>1430-97-3</v>
          </cell>
        </row>
        <row r="1608">
          <cell r="E1608" t="str">
            <v>2,4,6-Trichloroaniline</v>
          </cell>
          <cell r="F1608" t="str">
            <v>634-93-5</v>
          </cell>
        </row>
        <row r="1609">
          <cell r="E1609" t="str">
            <v>Decanoic acid</v>
          </cell>
          <cell r="F1609" t="str">
            <v>334-48-5</v>
          </cell>
        </row>
        <row r="1610">
          <cell r="E1610" t="str">
            <v>Benzal chloride</v>
          </cell>
          <cell r="F1610" t="str">
            <v>98-87-3</v>
          </cell>
        </row>
        <row r="1611">
          <cell r="E1611" t="str">
            <v>Acrylic Acid</v>
          </cell>
          <cell r="F1611" t="str">
            <v>79-10-7</v>
          </cell>
        </row>
        <row r="1612">
          <cell r="E1612" t="str">
            <v>Actinium-228</v>
          </cell>
          <cell r="F1612" t="str">
            <v>14331-83-0</v>
          </cell>
        </row>
        <row r="1613">
          <cell r="E1613" t="str">
            <v>Acetonitrile</v>
          </cell>
          <cell r="F1613" t="str">
            <v>75-05-8</v>
          </cell>
        </row>
        <row r="1614">
          <cell r="E1614" t="str">
            <v>Acetone</v>
          </cell>
          <cell r="F1614" t="str">
            <v>67-64-1</v>
          </cell>
        </row>
        <row r="1615">
          <cell r="E1615" t="str">
            <v>Acephate</v>
          </cell>
          <cell r="F1615" t="str">
            <v>30560-19-1</v>
          </cell>
        </row>
        <row r="1616">
          <cell r="E1616" t="str">
            <v>Acetaldehyde</v>
          </cell>
          <cell r="F1616" t="str">
            <v>75-07-0</v>
          </cell>
        </row>
        <row r="1617">
          <cell r="E1617" t="str">
            <v>Acetic acid</v>
          </cell>
          <cell r="F1617" t="str">
            <v>64-19-7</v>
          </cell>
        </row>
        <row r="1618">
          <cell r="E1618" t="str">
            <v>Acetylene</v>
          </cell>
          <cell r="F1618" t="str">
            <v>74-86-2</v>
          </cell>
        </row>
        <row r="1619">
          <cell r="E1619" t="str">
            <v>Acenaphthene</v>
          </cell>
          <cell r="F1619" t="str">
            <v>83-32-9</v>
          </cell>
        </row>
        <row r="1620">
          <cell r="E1620" t="str">
            <v>Acenaphthylene</v>
          </cell>
          <cell r="F1620" t="str">
            <v>208-96-8</v>
          </cell>
        </row>
        <row r="1621">
          <cell r="E1621" t="str">
            <v>Acetophenone</v>
          </cell>
          <cell r="F1621" t="str">
            <v>98-86-2</v>
          </cell>
        </row>
        <row r="1622">
          <cell r="E1622" t="str">
            <v>Acrylonitrile</v>
          </cell>
          <cell r="F1622" t="str">
            <v>107-13-1</v>
          </cell>
        </row>
        <row r="1623">
          <cell r="E1623" t="str">
            <v>Acrolein</v>
          </cell>
          <cell r="F1623" t="str">
            <v>107-02-8</v>
          </cell>
        </row>
        <row r="1624">
          <cell r="E1624" t="str">
            <v>Acrylamide</v>
          </cell>
          <cell r="F1624" t="str">
            <v>79-06-1</v>
          </cell>
        </row>
        <row r="1625">
          <cell r="E1625" t="str">
            <v>Asbestos, Actinolite</v>
          </cell>
          <cell r="F1625" t="str">
            <v>77536-66-4</v>
          </cell>
        </row>
        <row r="1626">
          <cell r="E1626" t="str">
            <v>Acifluorfen</v>
          </cell>
          <cell r="F1626" t="str">
            <v>50594-66-6</v>
          </cell>
        </row>
        <row r="1627">
          <cell r="E1627" t="str">
            <v>Aluminum</v>
          </cell>
          <cell r="F1627" t="str">
            <v>7429-90-5</v>
          </cell>
        </row>
        <row r="1628">
          <cell r="E1628" t="str">
            <v>Alachlor</v>
          </cell>
          <cell r="F1628" t="str">
            <v>15972-60-8</v>
          </cell>
        </row>
        <row r="1629">
          <cell r="E1629" t="str">
            <v>Aldicarb</v>
          </cell>
          <cell r="F1629" t="str">
            <v>116-06-3</v>
          </cell>
        </row>
        <row r="1630">
          <cell r="E1630" t="str">
            <v>Aldrin</v>
          </cell>
          <cell r="F1630" t="str">
            <v>309-00-2</v>
          </cell>
        </row>
        <row r="1631">
          <cell r="E1631" t="str">
            <v>Aldicarb sulfone</v>
          </cell>
          <cell r="F1631" t="str">
            <v>1646-88-4</v>
          </cell>
        </row>
        <row r="1632">
          <cell r="E1632" t="str">
            <v>Bicarbonate Alkalinity as CACO3</v>
          </cell>
          <cell r="F1632" t="str">
            <v>ALK</v>
          </cell>
        </row>
        <row r="1633">
          <cell r="E1633" t="str">
            <v>Allyl alcohol</v>
          </cell>
          <cell r="F1633" t="str">
            <v>107-18-6</v>
          </cell>
        </row>
        <row r="1634">
          <cell r="E1634" t="str">
            <v>Americium-241</v>
          </cell>
          <cell r="F1634" t="str">
            <v>86954-36-1</v>
          </cell>
        </row>
        <row r="1635">
          <cell r="E1635" t="str">
            <v>2-Aminoanthraquinone</v>
          </cell>
          <cell r="F1635" t="str">
            <v>117-79-3</v>
          </cell>
        </row>
        <row r="1636">
          <cell r="E1636" t="str">
            <v>alpha-Methylstyrene</v>
          </cell>
          <cell r="F1636" t="str">
            <v>98-83-9</v>
          </cell>
        </row>
        <row r="1637">
          <cell r="E1637" t="str">
            <v>Ametryn</v>
          </cell>
          <cell r="F1637" t="str">
            <v>834-12-8</v>
          </cell>
        </row>
        <row r="1638">
          <cell r="E1638" t="str">
            <v>Aminocarb</v>
          </cell>
          <cell r="F1638" t="str">
            <v>2032-59-9</v>
          </cell>
        </row>
        <row r="1639">
          <cell r="E1639" t="str">
            <v>2-Naphthylamine</v>
          </cell>
          <cell r="F1639" t="str">
            <v>91-59-8</v>
          </cell>
        </row>
        <row r="1640">
          <cell r="E1640" t="str">
            <v>Asbestos, Amosite (Grunerite)</v>
          </cell>
          <cell r="F1640" t="str">
            <v>12172-73-5</v>
          </cell>
        </row>
        <row r="1641">
          <cell r="E1641" t="str">
            <v>5a-Androstane</v>
          </cell>
          <cell r="F1641" t="str">
            <v>438-22-2</v>
          </cell>
        </row>
        <row r="1642">
          <cell r="E1642" t="str">
            <v>Aniline</v>
          </cell>
          <cell r="F1642" t="str">
            <v>62-53-3</v>
          </cell>
        </row>
        <row r="1643">
          <cell r="E1643" t="str">
            <v>Anilazine</v>
          </cell>
          <cell r="F1643" t="str">
            <v>101-05-3</v>
          </cell>
        </row>
        <row r="1644">
          <cell r="E1644" t="str">
            <v>Aramite</v>
          </cell>
          <cell r="F1644" t="str">
            <v>140-57-8</v>
          </cell>
        </row>
        <row r="1645">
          <cell r="E1645" t="str">
            <v>Arsenic</v>
          </cell>
          <cell r="F1645" t="str">
            <v>7440-38-2</v>
          </cell>
        </row>
        <row r="1646">
          <cell r="E1646" t="str">
            <v>Asbestos</v>
          </cell>
          <cell r="F1646" t="str">
            <v>1332-21-4</v>
          </cell>
        </row>
        <row r="1647">
          <cell r="E1647" t="str">
            <v>alpha-Terpineol</v>
          </cell>
          <cell r="F1647" t="str">
            <v>98-55-5</v>
          </cell>
        </row>
        <row r="1648">
          <cell r="E1648" t="str">
            <v>Atrazine</v>
          </cell>
          <cell r="F1648" t="str">
            <v>1912-24-9</v>
          </cell>
        </row>
        <row r="1649">
          <cell r="E1649" t="str">
            <v>Azinphos methyl</v>
          </cell>
          <cell r="F1649" t="str">
            <v>86-50-0</v>
          </cell>
        </row>
        <row r="1650">
          <cell r="E1650" t="str">
            <v>Azobenzene</v>
          </cell>
          <cell r="F1650" t="str">
            <v>103-33-3</v>
          </cell>
        </row>
        <row r="1651">
          <cell r="E1651" t="str">
            <v>Boron</v>
          </cell>
          <cell r="F1651" t="str">
            <v>7440-42-8</v>
          </cell>
        </row>
        <row r="1652">
          <cell r="E1652" t="str">
            <v>Barium</v>
          </cell>
          <cell r="F1652" t="str">
            <v>7440-39-3</v>
          </cell>
        </row>
        <row r="1653">
          <cell r="E1653" t="str">
            <v>Barban</v>
          </cell>
          <cell r="F1653" t="str">
            <v>101-27-9</v>
          </cell>
        </row>
        <row r="1654">
          <cell r="E1654" t="str">
            <v>Benzyl butyl phthalate</v>
          </cell>
          <cell r="F1654" t="str">
            <v>85-68-7</v>
          </cell>
        </row>
        <row r="1655">
          <cell r="E1655" t="str">
            <v>Bromodichloromethane</v>
          </cell>
          <cell r="F1655" t="str">
            <v>75-27-4</v>
          </cell>
        </row>
        <row r="1656">
          <cell r="E1656" t="str">
            <v>Beryllium</v>
          </cell>
          <cell r="F1656" t="str">
            <v>7440-41-7</v>
          </cell>
        </row>
        <row r="1657">
          <cell r="E1657" t="str">
            <v>Beryllium-7</v>
          </cell>
          <cell r="F1657" t="str">
            <v>13966-02-4</v>
          </cell>
        </row>
        <row r="1658">
          <cell r="E1658" t="str">
            <v>Bendiocarb</v>
          </cell>
          <cell r="F1658" t="str">
            <v>22781-23-3</v>
          </cell>
        </row>
        <row r="1659">
          <cell r="E1659" t="str">
            <v>Benomyl</v>
          </cell>
          <cell r="F1659" t="str">
            <v>17804-35-2</v>
          </cell>
        </row>
        <row r="1660">
          <cell r="E1660" t="str">
            <v>alpha-BHC</v>
          </cell>
          <cell r="F1660" t="str">
            <v>319-84-6</v>
          </cell>
        </row>
        <row r="1661">
          <cell r="E1661" t="str">
            <v>beta-BHC</v>
          </cell>
          <cell r="F1661" t="str">
            <v>319-85-7</v>
          </cell>
        </row>
        <row r="1662">
          <cell r="E1662" t="str">
            <v>Bismuth</v>
          </cell>
          <cell r="F1662" t="str">
            <v>7440-69-9</v>
          </cell>
        </row>
        <row r="1663">
          <cell r="E1663" t="str">
            <v>Bismuth-212</v>
          </cell>
          <cell r="F1663" t="str">
            <v>14913-49-6</v>
          </cell>
        </row>
        <row r="1664">
          <cell r="E1664" t="str">
            <v>Bismuth-214</v>
          </cell>
          <cell r="F1664" t="str">
            <v>14733-03-0</v>
          </cell>
        </row>
        <row r="1665">
          <cell r="E1665" t="str">
            <v>Biphenyl</v>
          </cell>
          <cell r="F1665" t="str">
            <v>92-52-4</v>
          </cell>
        </row>
        <row r="1666">
          <cell r="E1666" t="str">
            <v>Bisphenol A</v>
          </cell>
          <cell r="F1666" t="str">
            <v>80-05-7</v>
          </cell>
        </row>
        <row r="1667">
          <cell r="E1667" t="str">
            <v>Bromide</v>
          </cell>
          <cell r="F1667" t="str">
            <v>24959-67-9</v>
          </cell>
        </row>
        <row r="1668">
          <cell r="E1668" t="str">
            <v>Bromochloromethane</v>
          </cell>
          <cell r="F1668" t="str">
            <v>74-97-5</v>
          </cell>
        </row>
        <row r="1669">
          <cell r="E1669" t="str">
            <v>Bromoethane</v>
          </cell>
          <cell r="F1669" t="str">
            <v>74-96-4</v>
          </cell>
        </row>
        <row r="1670">
          <cell r="E1670" t="str">
            <v>Bromomethane</v>
          </cell>
          <cell r="F1670" t="str">
            <v>74-83-9</v>
          </cell>
        </row>
        <row r="1671">
          <cell r="E1671" t="str">
            <v>Bromate ion (BrO3) (1-)</v>
          </cell>
          <cell r="F1671" t="str">
            <v>15541-45-4</v>
          </cell>
        </row>
        <row r="1672">
          <cell r="E1672" t="str">
            <v>Bromacil</v>
          </cell>
          <cell r="F1672" t="str">
            <v>314-40-9</v>
          </cell>
        </row>
        <row r="1673">
          <cell r="E1673" t="str">
            <v>Bromine</v>
          </cell>
          <cell r="F1673" t="str">
            <v>7726-95-6</v>
          </cell>
        </row>
        <row r="1674">
          <cell r="E1674" t="str">
            <v>Bromoxynil</v>
          </cell>
          <cell r="F1674" t="str">
            <v>1689-84-5</v>
          </cell>
        </row>
        <row r="1675">
          <cell r="E1675" t="str">
            <v>n-Butyl mercaptan</v>
          </cell>
          <cell r="F1675" t="str">
            <v>109-79-5</v>
          </cell>
        </row>
        <row r="1676">
          <cell r="E1676" t="str">
            <v>n-Butanol</v>
          </cell>
          <cell r="F1676" t="str">
            <v>71-36-3</v>
          </cell>
        </row>
        <row r="1677">
          <cell r="E1677" t="str">
            <v>Butyltin</v>
          </cell>
          <cell r="F1677" t="str">
            <v>2406-65-7</v>
          </cell>
        </row>
        <row r="1678">
          <cell r="E1678" t="str">
            <v>Bentazon</v>
          </cell>
          <cell r="F1678" t="str">
            <v>25057-89-0</v>
          </cell>
        </row>
        <row r="1679">
          <cell r="E1679" t="str">
            <v>Butachlor</v>
          </cell>
          <cell r="F1679" t="str">
            <v>23184-66-9</v>
          </cell>
        </row>
        <row r="1680">
          <cell r="E1680" t="str">
            <v>Butylate</v>
          </cell>
          <cell r="F1680" t="str">
            <v>2008-41-5</v>
          </cell>
        </row>
        <row r="1681">
          <cell r="E1681" t="str">
            <v>Benzo(a)anthracene</v>
          </cell>
          <cell r="F1681" t="str">
            <v>56-55-3</v>
          </cell>
        </row>
        <row r="1682">
          <cell r="E1682" t="str">
            <v>Benzoic acid</v>
          </cell>
          <cell r="F1682" t="str">
            <v>65-85-0</v>
          </cell>
        </row>
        <row r="1683">
          <cell r="E1683" t="str">
            <v>Benzaldehyde</v>
          </cell>
          <cell r="F1683" t="str">
            <v>100-52-7</v>
          </cell>
        </row>
        <row r="1684">
          <cell r="E1684" t="str">
            <v>Benzo(a)pyrene</v>
          </cell>
          <cell r="F1684" t="str">
            <v>50-32-8</v>
          </cell>
        </row>
        <row r="1685">
          <cell r="E1685" t="str">
            <v>Benzo(b)fluoranthene</v>
          </cell>
          <cell r="F1685" t="str">
            <v>205-99-2</v>
          </cell>
        </row>
        <row r="1686">
          <cell r="E1686" t="str">
            <v>Benzidine</v>
          </cell>
          <cell r="F1686" t="str">
            <v>92-87-5</v>
          </cell>
        </row>
        <row r="1687">
          <cell r="E1687" t="str">
            <v>Benzo(e)pyrene</v>
          </cell>
          <cell r="F1687" t="str">
            <v>192-97-2</v>
          </cell>
        </row>
        <row r="1688">
          <cell r="E1688" t="str">
            <v>Benzo(g,h,i)perylene</v>
          </cell>
          <cell r="F1688" t="str">
            <v>191-24-2</v>
          </cell>
        </row>
        <row r="1689">
          <cell r="E1689" t="str">
            <v>Benzo(j)fluoranthene</v>
          </cell>
          <cell r="F1689" t="str">
            <v>205-82-3</v>
          </cell>
        </row>
        <row r="1690">
          <cell r="E1690" t="str">
            <v>Benzo(k)fluoranthene</v>
          </cell>
          <cell r="F1690" t="str">
            <v>207-08-9</v>
          </cell>
        </row>
        <row r="1691">
          <cell r="E1691" t="str">
            <v>Benzyl alcohol</v>
          </cell>
          <cell r="F1691" t="str">
            <v>100-51-6</v>
          </cell>
        </row>
        <row r="1692">
          <cell r="E1692" t="str">
            <v>Carbon-14</v>
          </cell>
          <cell r="F1692" t="str">
            <v>14762-75-5</v>
          </cell>
        </row>
        <row r="1693">
          <cell r="E1693" t="str">
            <v>cis-2-Butene</v>
          </cell>
          <cell r="F1693" t="str">
            <v>590-18-1</v>
          </cell>
        </row>
        <row r="1694">
          <cell r="E1694" t="str">
            <v>4-Chloro-3-methylphenol</v>
          </cell>
          <cell r="F1694" t="str">
            <v>59-50-7</v>
          </cell>
        </row>
        <row r="1695">
          <cell r="E1695" t="str">
            <v>Calcium</v>
          </cell>
          <cell r="F1695" t="str">
            <v>7440-70-2</v>
          </cell>
        </row>
        <row r="1696">
          <cell r="E1696" t="str">
            <v>Chloroacetic acid</v>
          </cell>
          <cell r="F1696" t="str">
            <v>79-11-8</v>
          </cell>
        </row>
        <row r="1697">
          <cell r="E1697" t="str">
            <v>Carbonate as CaCO3</v>
          </cell>
          <cell r="F1697" t="str">
            <v>471-34-1</v>
          </cell>
        </row>
        <row r="1698">
          <cell r="E1698" t="str">
            <v>Caprolactam</v>
          </cell>
          <cell r="F1698" t="str">
            <v>105-60-2</v>
          </cell>
        </row>
        <row r="1699">
          <cell r="E1699" t="str">
            <v>Captafol</v>
          </cell>
          <cell r="F1699" t="str">
            <v>2425-06-1</v>
          </cell>
        </row>
        <row r="1700">
          <cell r="E1700" t="str">
            <v>Captan</v>
          </cell>
          <cell r="F1700" t="str">
            <v>133-06-2</v>
          </cell>
        </row>
        <row r="1701">
          <cell r="E1701" t="str">
            <v>Carbazole</v>
          </cell>
          <cell r="F1701" t="str">
            <v>86-74-8</v>
          </cell>
        </row>
        <row r="1702">
          <cell r="E1702" t="str">
            <v>Carboxin</v>
          </cell>
          <cell r="F1702" t="str">
            <v>5234-68-4</v>
          </cell>
        </row>
        <row r="1703">
          <cell r="E1703" t="str">
            <v>Carbon disulfide</v>
          </cell>
          <cell r="F1703" t="str">
            <v>75-15-0</v>
          </cell>
        </row>
        <row r="1704">
          <cell r="E1704" t="str">
            <v>2-Chloroethyl vinyl ether</v>
          </cell>
          <cell r="F1704" t="str">
            <v>110-75-8</v>
          </cell>
        </row>
        <row r="1705">
          <cell r="E1705" t="str">
            <v>alpha-Chlordane</v>
          </cell>
          <cell r="F1705" t="str">
            <v>5103-71-9</v>
          </cell>
        </row>
        <row r="1706">
          <cell r="E1706" t="str">
            <v>Chlordane, Total</v>
          </cell>
          <cell r="F1706" t="str">
            <v>12789-03-6</v>
          </cell>
        </row>
        <row r="1707">
          <cell r="E1707" t="str">
            <v>Chloroxuron</v>
          </cell>
          <cell r="F1707" t="str">
            <v>1982-47-4</v>
          </cell>
        </row>
        <row r="1708">
          <cell r="E1708" t="str">
            <v>Asbestos, Chrysotile</v>
          </cell>
          <cell r="F1708" t="str">
            <v>12001-29-5</v>
          </cell>
        </row>
        <row r="1709">
          <cell r="E1709" t="str">
            <v>Chloride</v>
          </cell>
          <cell r="F1709" t="str">
            <v>16887-00-6</v>
          </cell>
        </row>
        <row r="1710">
          <cell r="E1710" t="str">
            <v>Chloroacetonitrile</v>
          </cell>
          <cell r="F1710" t="str">
            <v>107-14-2</v>
          </cell>
        </row>
        <row r="1711">
          <cell r="E1711" t="str">
            <v>Chloramben</v>
          </cell>
          <cell r="F1711" t="str">
            <v>133-90-4</v>
          </cell>
        </row>
        <row r="1712">
          <cell r="E1712" t="str">
            <v>Chlorobenzene</v>
          </cell>
          <cell r="F1712" t="str">
            <v>108-90-7</v>
          </cell>
        </row>
        <row r="1713">
          <cell r="E1713" t="str">
            <v>Chlorobenzene-d5</v>
          </cell>
          <cell r="F1713" t="str">
            <v>3114-55-4</v>
          </cell>
        </row>
        <row r="1714">
          <cell r="E1714" t="str">
            <v>Chlorobenzilate</v>
          </cell>
          <cell r="F1714" t="str">
            <v>510-15-6</v>
          </cell>
        </row>
        <row r="1715">
          <cell r="E1715" t="str">
            <v>2-Chlorotoluene</v>
          </cell>
          <cell r="F1715" t="str">
            <v>95-49-8</v>
          </cell>
        </row>
        <row r="1716">
          <cell r="E1716" t="str">
            <v>4-Chlorotoluene</v>
          </cell>
          <cell r="F1716" t="str">
            <v>106-43-4</v>
          </cell>
        </row>
        <row r="1717">
          <cell r="E1717" t="str">
            <v>Chloroethane</v>
          </cell>
          <cell r="F1717" t="str">
            <v>75-00-3</v>
          </cell>
        </row>
        <row r="1718">
          <cell r="E1718" t="str">
            <v>Allyl chloride</v>
          </cell>
          <cell r="F1718" t="str">
            <v>107-05-1</v>
          </cell>
        </row>
        <row r="1719">
          <cell r="E1719" t="str">
            <v>2-Chlorophenol</v>
          </cell>
          <cell r="F1719" t="str">
            <v>95-57-8</v>
          </cell>
        </row>
        <row r="1720">
          <cell r="E1720" t="str">
            <v>Amenable Cyanide</v>
          </cell>
          <cell r="F1720" t="str">
            <v>57-12-5A</v>
          </cell>
        </row>
        <row r="1721">
          <cell r="E1721" t="str">
            <v>Cobalt-57</v>
          </cell>
          <cell r="F1721" t="str">
            <v>13981-50-5</v>
          </cell>
        </row>
        <row r="1722">
          <cell r="E1722" t="str">
            <v>Cobalt-58</v>
          </cell>
          <cell r="F1722" t="str">
            <v>13981-38-9</v>
          </cell>
        </row>
        <row r="1723">
          <cell r="E1723" t="str">
            <v>Cobalt-60</v>
          </cell>
          <cell r="F1723" t="str">
            <v>10198-40-0</v>
          </cell>
        </row>
        <row r="1724">
          <cell r="E1724" t="str">
            <v>Chemical Oxygen Demand</v>
          </cell>
          <cell r="F1724" t="str">
            <v>COD</v>
          </cell>
        </row>
        <row r="1725">
          <cell r="E1725" t="str">
            <v>Color</v>
          </cell>
          <cell r="F1725" t="str">
            <v>COLOR</v>
          </cell>
        </row>
        <row r="1726">
          <cell r="E1726" t="str">
            <v>Corrosivity Toward Steel</v>
          </cell>
          <cell r="F1726" t="str">
            <v>CORR</v>
          </cell>
        </row>
        <row r="1727">
          <cell r="E1727" t="str">
            <v>Carbonyl sulfide</v>
          </cell>
          <cell r="F1727" t="str">
            <v>463-58-1</v>
          </cell>
        </row>
        <row r="1728">
          <cell r="E1728" t="str">
            <v>Coumaphos</v>
          </cell>
          <cell r="F1728" t="str">
            <v>56-72-4</v>
          </cell>
        </row>
        <row r="1729">
          <cell r="E1729" t="str">
            <v>Asbestos, Crocidolite</v>
          </cell>
          <cell r="F1729" t="str">
            <v>12001-28-4</v>
          </cell>
        </row>
        <row r="1730">
          <cell r="E1730" t="str">
            <v>Cesium-134</v>
          </cell>
          <cell r="F1730" t="str">
            <v>13967-70-9</v>
          </cell>
        </row>
        <row r="1731">
          <cell r="E1731" t="str">
            <v>Cesium-137</v>
          </cell>
          <cell r="F1731" t="str">
            <v>10045-97-3</v>
          </cell>
        </row>
        <row r="1732">
          <cell r="E1732" t="str">
            <v>Carbon tetrachloride</v>
          </cell>
          <cell r="F1732" t="str">
            <v>56-23-5</v>
          </cell>
        </row>
        <row r="1733">
          <cell r="E1733" t="str">
            <v>Chlorotrifluoroethene</v>
          </cell>
          <cell r="F1733" t="str">
            <v>79-38-9</v>
          </cell>
        </row>
        <row r="1734">
          <cell r="E1734" t="str">
            <v>Copper</v>
          </cell>
          <cell r="F1734" t="str">
            <v>7440-50-8</v>
          </cell>
        </row>
        <row r="1735">
          <cell r="E1735" t="str">
            <v>Cycloate</v>
          </cell>
          <cell r="F1735" t="str">
            <v>1134-23-2</v>
          </cell>
        </row>
        <row r="1736">
          <cell r="E1736" t="str">
            <v>Cyclohexanone</v>
          </cell>
          <cell r="F1736" t="str">
            <v>108-94-1</v>
          </cell>
        </row>
        <row r="1737">
          <cell r="E1737" t="str">
            <v>Cyclohexanol</v>
          </cell>
          <cell r="F1737" t="str">
            <v>108-93-0</v>
          </cell>
        </row>
        <row r="1738">
          <cell r="E1738" t="str">
            <v>DCPA (Dacthal)</v>
          </cell>
          <cell r="F1738" t="str">
            <v>1861-32-1</v>
          </cell>
        </row>
        <row r="1739">
          <cell r="E1739" t="str">
            <v>Dibenzo(a,h)anthracene</v>
          </cell>
          <cell r="F1739" t="str">
            <v>53-70-3</v>
          </cell>
        </row>
        <row r="1740">
          <cell r="E1740" t="str">
            <v>3,3'-Dichlorobenzidine</v>
          </cell>
          <cell r="F1740" t="str">
            <v>91-94-1</v>
          </cell>
        </row>
        <row r="1741">
          <cell r="E1741" t="str">
            <v>cis-1,4-Dichloro-2-butene</v>
          </cell>
          <cell r="F1741" t="str">
            <v>1476-11-5</v>
          </cell>
        </row>
        <row r="1742">
          <cell r="E1742" t="str">
            <v>2,5-Dichlorophenol</v>
          </cell>
          <cell r="F1742" t="str">
            <v>583-78-8</v>
          </cell>
        </row>
        <row r="1743">
          <cell r="E1743" t="str">
            <v>2,2-Dichloropropane</v>
          </cell>
          <cell r="F1743" t="str">
            <v>594-20-7</v>
          </cell>
        </row>
        <row r="1744">
          <cell r="E1744" t="str">
            <v>4,4'-DDD</v>
          </cell>
          <cell r="F1744" t="str">
            <v>72-54-8</v>
          </cell>
        </row>
        <row r="1745">
          <cell r="E1745" t="str">
            <v>2,4'-DDE</v>
          </cell>
          <cell r="F1745" t="str">
            <v>3424-82-6</v>
          </cell>
        </row>
        <row r="1746">
          <cell r="E1746" t="str">
            <v>4,4'-DDE</v>
          </cell>
          <cell r="F1746" t="str">
            <v>72-55-9</v>
          </cell>
        </row>
        <row r="1747">
          <cell r="E1747" t="str">
            <v>2,4'-DDT</v>
          </cell>
          <cell r="F1747" t="str">
            <v>789-02-6</v>
          </cell>
        </row>
        <row r="1748">
          <cell r="E1748" t="str">
            <v>4,4'-DDT</v>
          </cell>
          <cell r="F1748" t="str">
            <v>50-29-3</v>
          </cell>
        </row>
        <row r="1749">
          <cell r="E1749" t="str">
            <v>Diethylamine</v>
          </cell>
          <cell r="F1749" t="str">
            <v>109-89-7</v>
          </cell>
        </row>
        <row r="1750">
          <cell r="E1750" t="str">
            <v>Diethyl phthalate</v>
          </cell>
          <cell r="F1750" t="str">
            <v>84-66-2</v>
          </cell>
        </row>
        <row r="1751">
          <cell r="E1751" t="str">
            <v>Diethylstilbestrol</v>
          </cell>
          <cell r="F1751" t="str">
            <v>56-53-1</v>
          </cell>
        </row>
        <row r="1752">
          <cell r="E1752" t="str">
            <v>Dimethoate</v>
          </cell>
          <cell r="F1752" t="str">
            <v>60-51-5</v>
          </cell>
        </row>
        <row r="1753">
          <cell r="E1753" t="str">
            <v>Dinoseb</v>
          </cell>
          <cell r="F1753" t="str">
            <v>88-85-7</v>
          </cell>
        </row>
        <row r="1754">
          <cell r="E1754" t="str">
            <v>7,12-Dimethylbenz(a)anthracene</v>
          </cell>
          <cell r="F1754" t="str">
            <v>57-97-6</v>
          </cell>
        </row>
        <row r="1755">
          <cell r="E1755" t="str">
            <v>2,5-Dimethyl benzaldehyde</v>
          </cell>
          <cell r="F1755" t="str">
            <v>5779-94-2</v>
          </cell>
        </row>
        <row r="1756">
          <cell r="E1756" t="str">
            <v>Dimethoxymethane</v>
          </cell>
          <cell r="F1756" t="str">
            <v>109-87-5</v>
          </cell>
        </row>
        <row r="1757">
          <cell r="E1757" t="str">
            <v>2,6-Dimethylphenol</v>
          </cell>
          <cell r="F1757" t="str">
            <v>576-26-1</v>
          </cell>
        </row>
        <row r="1758">
          <cell r="E1758" t="str">
            <v>Dimethyl phthalate</v>
          </cell>
          <cell r="F1758" t="str">
            <v>131-11-3</v>
          </cell>
        </row>
        <row r="1759">
          <cell r="E1759" t="str">
            <v>Dimethyl sulfide</v>
          </cell>
          <cell r="F1759" t="str">
            <v>75-18-3</v>
          </cell>
        </row>
        <row r="1760">
          <cell r="E1760" t="str">
            <v>Di-n-octyl phthalate</v>
          </cell>
          <cell r="F1760" t="str">
            <v>117-84-0</v>
          </cell>
        </row>
        <row r="1761">
          <cell r="E1761" t="str">
            <v>2,6-Dinitrotoluene</v>
          </cell>
          <cell r="F1761" t="str">
            <v>606-20-2</v>
          </cell>
        </row>
        <row r="1762">
          <cell r="E1762" t="str">
            <v>Diphenylamine</v>
          </cell>
          <cell r="F1762" t="str">
            <v>122-39-4</v>
          </cell>
        </row>
        <row r="1763">
          <cell r="E1763" t="str">
            <v>Diphenamide</v>
          </cell>
          <cell r="F1763" t="str">
            <v>957-51-7</v>
          </cell>
        </row>
        <row r="1764">
          <cell r="E1764" t="str">
            <v>4-Ethyltoluene</v>
          </cell>
          <cell r="F1764" t="str">
            <v>622-96-8</v>
          </cell>
        </row>
        <row r="1765">
          <cell r="E1765" t="str">
            <v>Diethyl ether</v>
          </cell>
          <cell r="F1765" t="str">
            <v>60-29-7</v>
          </cell>
        </row>
        <row r="1766">
          <cell r="E1766" t="str">
            <v>1-Hexanol, 2-ethyl-</v>
          </cell>
          <cell r="F1766" t="str">
            <v>104-76-7</v>
          </cell>
        </row>
        <row r="1767">
          <cell r="E1767" t="str">
            <v>Hexafluoro-2-propanol</v>
          </cell>
          <cell r="F1767" t="str">
            <v>920-66-1</v>
          </cell>
        </row>
        <row r="1768">
          <cell r="E1768" t="str">
            <v>2-Hexanone</v>
          </cell>
          <cell r="F1768" t="str">
            <v>591-78-6</v>
          </cell>
        </row>
        <row r="1769">
          <cell r="E1769" t="str">
            <v>5-Hydroxydicamba</v>
          </cell>
          <cell r="F1769" t="str">
            <v>7600-50-2</v>
          </cell>
        </row>
        <row r="1770">
          <cell r="E1770" t="str">
            <v>6-Methylchrysene</v>
          </cell>
          <cell r="F1770" t="str">
            <v>1705-85-7</v>
          </cell>
        </row>
        <row r="1771">
          <cell r="E1771" t="str">
            <v>4-Methylphenol (p-Cresol)</v>
          </cell>
          <cell r="F1771" t="str">
            <v>106-44-5</v>
          </cell>
        </row>
        <row r="1772">
          <cell r="E1772" t="str">
            <v>a,a-Dimethylphenethylamine</v>
          </cell>
          <cell r="F1772" t="str">
            <v>122-09-8</v>
          </cell>
        </row>
        <row r="1773">
          <cell r="E1773" t="str">
            <v>m-Phenylenediamine</v>
          </cell>
          <cell r="F1773" t="str">
            <v>108-45-2</v>
          </cell>
        </row>
        <row r="1774">
          <cell r="E1774" t="str">
            <v>2,4-Diaminotoluene</v>
          </cell>
          <cell r="F1774" t="str">
            <v>95-80-7</v>
          </cell>
        </row>
        <row r="1775">
          <cell r="E1775" t="str">
            <v>2-Methylnaphthalene</v>
          </cell>
          <cell r="F1775" t="str">
            <v>91-57-6</v>
          </cell>
        </row>
        <row r="1776">
          <cell r="E1776" t="str">
            <v>3-Nitrotoluene</v>
          </cell>
          <cell r="F1776" t="str">
            <v>99-08-1</v>
          </cell>
        </row>
        <row r="1777">
          <cell r="E1777" t="str">
            <v>Ammonia (un-ionized)</v>
          </cell>
          <cell r="F1777" t="str">
            <v>7664-41-7</v>
          </cell>
        </row>
        <row r="1778">
          <cell r="E1778" t="str">
            <v>Ammonium as Nitrogen</v>
          </cell>
          <cell r="F1778" t="str">
            <v>14798-03-9</v>
          </cell>
        </row>
        <row r="1779">
          <cell r="E1779" t="str">
            <v>N-N-Dimethylaniline</v>
          </cell>
          <cell r="F1779" t="str">
            <v>121-69-7</v>
          </cell>
        </row>
        <row r="1780">
          <cell r="E1780" t="str">
            <v>N,N-Dimethylformamide</v>
          </cell>
          <cell r="F1780" t="str">
            <v>68-12-2</v>
          </cell>
        </row>
        <row r="1781">
          <cell r="E1781" t="str">
            <v>Nonanal</v>
          </cell>
          <cell r="F1781" t="str">
            <v>124-19-6</v>
          </cell>
        </row>
        <row r="1782">
          <cell r="E1782" t="str">
            <v>2-Nitropropane</v>
          </cell>
          <cell r="F1782" t="str">
            <v>79-46-9</v>
          </cell>
        </row>
        <row r="1783">
          <cell r="E1783" t="str">
            <v>o-Phenylenediamine</v>
          </cell>
          <cell r="F1783" t="str">
            <v>95-54-5</v>
          </cell>
        </row>
        <row r="1784">
          <cell r="E1784" t="str">
            <v>PCB-1016  (Aroclor 1016)</v>
          </cell>
          <cell r="F1784" t="str">
            <v>12674-11-2</v>
          </cell>
        </row>
        <row r="1785">
          <cell r="E1785" t="str">
            <v>PCB-1221  (Aroclor 1221)</v>
          </cell>
          <cell r="F1785" t="str">
            <v>11104-28-2</v>
          </cell>
        </row>
        <row r="1786">
          <cell r="E1786" t="str">
            <v>PCB-1232  (Aroclor 1232)</v>
          </cell>
          <cell r="F1786" t="str">
            <v>11141-16-5</v>
          </cell>
        </row>
        <row r="1787">
          <cell r="E1787" t="str">
            <v>PCB-1242  (Aroclor 1242)</v>
          </cell>
          <cell r="F1787" t="str">
            <v>53469-21-9</v>
          </cell>
        </row>
        <row r="1788">
          <cell r="E1788" t="str">
            <v>PCB-1248  (Aroclor 1248)</v>
          </cell>
          <cell r="F1788" t="str">
            <v>12672-29-6</v>
          </cell>
        </row>
        <row r="1789">
          <cell r="E1789" t="str">
            <v>PCB-1254  (Aroclor 1254)</v>
          </cell>
          <cell r="F1789" t="str">
            <v>11097-69-1</v>
          </cell>
        </row>
        <row r="1790">
          <cell r="E1790" t="str">
            <v>PCB-1260  (Aroclor 1260)</v>
          </cell>
          <cell r="F1790" t="str">
            <v>11096-82-5</v>
          </cell>
        </row>
        <row r="1791">
          <cell r="E1791" t="str">
            <v>PCB-1262 (Aroclor 1262)</v>
          </cell>
          <cell r="F1791" t="str">
            <v>37324-23-5</v>
          </cell>
        </row>
        <row r="1792">
          <cell r="E1792" t="str">
            <v>PCB-1268 (Aroclor 1268)</v>
          </cell>
          <cell r="F1792" t="str">
            <v>11100-14-4</v>
          </cell>
        </row>
        <row r="1793">
          <cell r="E1793" t="str">
            <v>2,3,4,7,8-Pentachlorodibenzofuran</v>
          </cell>
          <cell r="F1793" t="str">
            <v>57117-31-4</v>
          </cell>
        </row>
        <row r="1794">
          <cell r="E1794" t="str">
            <v>2,4,6-Tribromophenol</v>
          </cell>
          <cell r="F1794" t="str">
            <v>118-79-6</v>
          </cell>
        </row>
        <row r="1795">
          <cell r="E1795" t="str">
            <v>2-Fluorophenol</v>
          </cell>
          <cell r="F1795" t="str">
            <v>367-12-4</v>
          </cell>
        </row>
        <row r="1796">
          <cell r="E1796" t="str">
            <v>2-Fluorobiphenyl</v>
          </cell>
          <cell r="F1796" t="str">
            <v>321-60-8</v>
          </cell>
        </row>
        <row r="1797">
          <cell r="E1797" t="str">
            <v>5,5-Diphenylhydantoin</v>
          </cell>
          <cell r="F1797" t="str">
            <v>57-41-0</v>
          </cell>
        </row>
        <row r="1798">
          <cell r="E1798" t="str">
            <v>2-Bromo-1-chloropropane</v>
          </cell>
          <cell r="F1798" t="str">
            <v>3017-95-6</v>
          </cell>
        </row>
        <row r="1799">
          <cell r="E1799" t="str">
            <v>n-Propanol</v>
          </cell>
          <cell r="F1799" t="str">
            <v>71-23-8</v>
          </cell>
        </row>
        <row r="1800">
          <cell r="E1800" t="str">
            <v>Antimony</v>
          </cell>
          <cell r="F1800" t="str">
            <v>7440-36-0</v>
          </cell>
        </row>
        <row r="1801">
          <cell r="E1801" t="str">
            <v>Antimony-124</v>
          </cell>
          <cell r="F1801" t="str">
            <v>14683-10-4</v>
          </cell>
        </row>
        <row r="1802">
          <cell r="E1802" t="str">
            <v>Antimony-125</v>
          </cell>
          <cell r="F1802" t="str">
            <v>14234-35-6</v>
          </cell>
        </row>
        <row r="1803">
          <cell r="E1803" t="str">
            <v>Carbaryl</v>
          </cell>
          <cell r="F1803" t="str">
            <v>63-25-2</v>
          </cell>
        </row>
        <row r="1804">
          <cell r="E1804" t="str">
            <v>Bolstar (Sulprofos)</v>
          </cell>
          <cell r="F1804" t="str">
            <v>35400-43-2</v>
          </cell>
        </row>
        <row r="1805">
          <cell r="E1805" t="str">
            <v>Bromoform</v>
          </cell>
          <cell r="F1805" t="str">
            <v>75-25-2</v>
          </cell>
        </row>
        <row r="1806">
          <cell r="E1806" t="str">
            <v>2,3,7,8-Tetrachlorodibenzo-p-dioxin</v>
          </cell>
          <cell r="F1806" t="str">
            <v>1746-01-6</v>
          </cell>
        </row>
        <row r="1807">
          <cell r="E1807" t="str">
            <v>2,3,7,8-Tetrachlorodibenzofuran</v>
          </cell>
          <cell r="F1807" t="str">
            <v>51207-31-9</v>
          </cell>
        </row>
        <row r="1808">
          <cell r="E1808" t="str">
            <v>Chloroform</v>
          </cell>
          <cell r="F1808" t="str">
            <v>67-66-3</v>
          </cell>
        </row>
        <row r="1809">
          <cell r="E1809" t="str">
            <v>2,4,6-Trichlorophenol</v>
          </cell>
          <cell r="F1809" t="str">
            <v>88-06-2</v>
          </cell>
        </row>
        <row r="1810">
          <cell r="E1810" t="str">
            <v>5-Nitro-o-toluidine</v>
          </cell>
          <cell r="F1810" t="str">
            <v>99-55-8</v>
          </cell>
        </row>
        <row r="1811">
          <cell r="E1811" t="str">
            <v>Total Chlorine</v>
          </cell>
          <cell r="F1811" t="str">
            <v>7782-50-5</v>
          </cell>
        </row>
        <row r="1812">
          <cell r="E1812" t="str">
            <v>Asbestos, Tremolite</v>
          </cell>
          <cell r="F1812" t="str">
            <v>77536-68-6</v>
          </cell>
        </row>
        <row r="1813">
          <cell r="E1813" t="str">
            <v>Chrysene</v>
          </cell>
          <cell r="F1813" t="str">
            <v>218-01-9</v>
          </cell>
        </row>
        <row r="1814">
          <cell r="E1814" t="str">
            <v>cis-1,2-Dichloroethene</v>
          </cell>
          <cell r="F1814" t="str">
            <v>156-59-2</v>
          </cell>
        </row>
        <row r="1815">
          <cell r="E1815" t="str">
            <v>Chlorpyrifos</v>
          </cell>
          <cell r="F1815" t="str">
            <v>2921-88-2</v>
          </cell>
        </row>
        <row r="1816">
          <cell r="E1816" t="str">
            <v>Chromium III</v>
          </cell>
          <cell r="F1816" t="str">
            <v>16065-83-1</v>
          </cell>
        </row>
        <row r="1817">
          <cell r="E1817" t="str">
            <v>Chromium, Hexavalent</v>
          </cell>
          <cell r="F1817" t="str">
            <v>18540-29-9</v>
          </cell>
        </row>
        <row r="1818">
          <cell r="E1818" t="str">
            <v>Chromium-51</v>
          </cell>
          <cell r="F1818" t="str">
            <v>14392-02-0</v>
          </cell>
        </row>
        <row r="1819">
          <cell r="E1819" t="str">
            <v>Chromium</v>
          </cell>
          <cell r="F1819" t="str">
            <v>7440-47-3</v>
          </cell>
        </row>
        <row r="1820">
          <cell r="E1820" t="str">
            <v>cis-1,3-Dichloropropene</v>
          </cell>
          <cell r="F1820" t="str">
            <v>10061-01-5</v>
          </cell>
        </row>
        <row r="1821">
          <cell r="E1821" t="str">
            <v>Chloropyrifos methyl</v>
          </cell>
          <cell r="F1821" t="str">
            <v>5598-13-0</v>
          </cell>
        </row>
        <row r="1822">
          <cell r="E1822" t="str">
            <v>Beta, Gross</v>
          </cell>
          <cell r="F1822" t="str">
            <v>12587-47-2</v>
          </cell>
        </row>
        <row r="1823">
          <cell r="E1823" t="str">
            <v>Alpha, Gross</v>
          </cell>
          <cell r="F1823" t="str">
            <v>12587-46-1</v>
          </cell>
        </row>
        <row r="1824">
          <cell r="E1824" t="str">
            <v>Butane</v>
          </cell>
          <cell r="F1824" t="str">
            <v>106-97-8</v>
          </cell>
        </row>
        <row r="1825">
          <cell r="E1825" t="str">
            <v>Bis(chloromethyl) ether</v>
          </cell>
          <cell r="F1825" t="str">
            <v>542-88-1</v>
          </cell>
        </row>
        <row r="1826">
          <cell r="E1826" t="str">
            <v>2,4,5-T</v>
          </cell>
          <cell r="F1826" t="str">
            <v>93-76-5</v>
          </cell>
        </row>
        <row r="1827">
          <cell r="E1827" t="str">
            <v>Total Extractable Petroleum Hydrocarbons (EPH)</v>
          </cell>
          <cell r="F1827" t="str">
            <v>TPH-EXT</v>
          </cell>
        </row>
        <row r="1828">
          <cell r="E1828" t="str">
            <v>Dimethylamine</v>
          </cell>
          <cell r="F1828" t="str">
            <v>124-40-3</v>
          </cell>
        </row>
        <row r="1829">
          <cell r="E1829" t="str">
            <v>Diethyl sulfate</v>
          </cell>
          <cell r="F1829" t="str">
            <v>64-67-5</v>
          </cell>
        </row>
        <row r="1830">
          <cell r="E1830" t="str">
            <v>Diethyl sulfide</v>
          </cell>
          <cell r="F1830" t="str">
            <v>352-93-2</v>
          </cell>
        </row>
        <row r="1831">
          <cell r="E1831" t="str">
            <v>Diethylene glycol</v>
          </cell>
          <cell r="F1831" t="str">
            <v>111-46-6</v>
          </cell>
        </row>
        <row r="1832">
          <cell r="E1832" t="str">
            <v>Diazinon</v>
          </cell>
          <cell r="F1832" t="str">
            <v>333-41-5</v>
          </cell>
        </row>
        <row r="1833">
          <cell r="E1833" t="str">
            <v>Dibenz(a,h)acridine</v>
          </cell>
          <cell r="F1833" t="str">
            <v>226-36-8</v>
          </cell>
        </row>
        <row r="1834">
          <cell r="E1834" t="str">
            <v>Dibenz(a,j)acridine</v>
          </cell>
          <cell r="F1834" t="str">
            <v>224-42-0</v>
          </cell>
        </row>
        <row r="1835">
          <cell r="E1835" t="str">
            <v>Dibenzo(a,e)pyrene</v>
          </cell>
          <cell r="F1835" t="str">
            <v>192-65-4</v>
          </cell>
        </row>
        <row r="1836">
          <cell r="E1836" t="str">
            <v>Dibenzo(a,h)pyrene</v>
          </cell>
          <cell r="F1836" t="str">
            <v>189-64-0</v>
          </cell>
        </row>
        <row r="1837">
          <cell r="E1837" t="str">
            <v>Dibenzo(a,i)pyrene</v>
          </cell>
          <cell r="F1837" t="str">
            <v>189-55-9</v>
          </cell>
        </row>
        <row r="1838">
          <cell r="E1838" t="str">
            <v>Diallate (cis- or trans-)</v>
          </cell>
          <cell r="F1838" t="str">
            <v>2303-16-4</v>
          </cell>
        </row>
        <row r="1839">
          <cell r="E1839" t="str">
            <v>Demeton-O</v>
          </cell>
          <cell r="F1839" t="str">
            <v>298-03-3</v>
          </cell>
        </row>
        <row r="1840">
          <cell r="E1840" t="str">
            <v>Demeton-S</v>
          </cell>
          <cell r="F1840" t="str">
            <v>126-75-0</v>
          </cell>
        </row>
        <row r="1841">
          <cell r="E1841" t="str">
            <v>delta-BHC</v>
          </cell>
          <cell r="F1841" t="str">
            <v>319-86-8</v>
          </cell>
        </row>
        <row r="1842">
          <cell r="E1842" t="str">
            <v>Demeton, -O and -S</v>
          </cell>
          <cell r="F1842" t="str">
            <v>8065-48-3</v>
          </cell>
        </row>
        <row r="1843">
          <cell r="E1843" t="str">
            <v>Decane</v>
          </cell>
          <cell r="F1843" t="str">
            <v>124-18-5</v>
          </cell>
        </row>
        <row r="1844">
          <cell r="E1844" t="str">
            <v>Dalapon</v>
          </cell>
          <cell r="F1844" t="str">
            <v>75-99-0</v>
          </cell>
        </row>
        <row r="1845">
          <cell r="E1845" t="str">
            <v>4-Isopropyltoluene</v>
          </cell>
          <cell r="F1845" t="str">
            <v>25155-15-1</v>
          </cell>
        </row>
        <row r="1846">
          <cell r="E1846" t="str">
            <v>4-Chlorophenyl phenyl ether</v>
          </cell>
          <cell r="F1846" t="str">
            <v>7005-72-3</v>
          </cell>
        </row>
        <row r="1847">
          <cell r="E1847" t="str">
            <v>Dinocap</v>
          </cell>
          <cell r="F1847" t="str">
            <v>39300-45-3</v>
          </cell>
        </row>
        <row r="1848">
          <cell r="E1848" t="str">
            <v>Di-n-butyl phthalate</v>
          </cell>
          <cell r="F1848" t="str">
            <v>84-74-2</v>
          </cell>
        </row>
        <row r="1849">
          <cell r="E1849" t="str">
            <v>Cyclohexane</v>
          </cell>
          <cell r="F1849" t="str">
            <v>110-82-7</v>
          </cell>
        </row>
        <row r="1850">
          <cell r="E1850" t="str">
            <v>Cyanide</v>
          </cell>
          <cell r="F1850" t="str">
            <v>57-12-5</v>
          </cell>
        </row>
        <row r="1851">
          <cell r="E1851" t="str">
            <v>Cresols (Methyl Phenols)</v>
          </cell>
          <cell r="F1851" t="str">
            <v>1319-77-3</v>
          </cell>
        </row>
        <row r="1852">
          <cell r="E1852" t="str">
            <v>Cobalt</v>
          </cell>
          <cell r="F1852" t="str">
            <v>7440-48-4</v>
          </cell>
        </row>
        <row r="1853">
          <cell r="E1853" t="str">
            <v>Chlordane</v>
          </cell>
          <cell r="F1853" t="str">
            <v>57-74-9</v>
          </cell>
        </row>
        <row r="1854">
          <cell r="E1854" t="str">
            <v>Chlorate</v>
          </cell>
          <cell r="F1854" t="str">
            <v>7790-93-4</v>
          </cell>
        </row>
        <row r="1855">
          <cell r="E1855" t="str">
            <v>Chlorfenvinphos</v>
          </cell>
          <cell r="F1855" t="str">
            <v>470-90-6</v>
          </cell>
        </row>
        <row r="1856">
          <cell r="E1856" t="str">
            <v>Chlorotoluene</v>
          </cell>
          <cell r="F1856" t="str">
            <v>25168-05-2</v>
          </cell>
        </row>
        <row r="1857">
          <cell r="E1857" t="str">
            <v>Chloropropham</v>
          </cell>
          <cell r="F1857" t="str">
            <v>101-21-3</v>
          </cell>
        </row>
        <row r="1858">
          <cell r="E1858" t="str">
            <v>Chloromethyl methyl ether</v>
          </cell>
          <cell r="F1858" t="str">
            <v>107-30-2</v>
          </cell>
        </row>
        <row r="1859">
          <cell r="E1859" t="str">
            <v>Chloromethane</v>
          </cell>
          <cell r="F1859" t="str">
            <v>74-87-3</v>
          </cell>
        </row>
        <row r="1860">
          <cell r="E1860" t="str">
            <v>Carbonate Alkalinity as CACO3</v>
          </cell>
          <cell r="F1860" t="str">
            <v>3812-32-6</v>
          </cell>
        </row>
        <row r="1861">
          <cell r="E1861" t="str">
            <v>Carbon dioxide</v>
          </cell>
          <cell r="F1861" t="str">
            <v>124-38-9</v>
          </cell>
        </row>
        <row r="1862">
          <cell r="E1862" t="str">
            <v>Carbon monoxide</v>
          </cell>
          <cell r="F1862" t="str">
            <v>630-08-0</v>
          </cell>
        </row>
        <row r="1863">
          <cell r="E1863" t="str">
            <v>Carbofuran</v>
          </cell>
          <cell r="F1863" t="str">
            <v>1563-66-2</v>
          </cell>
        </row>
        <row r="1864">
          <cell r="E1864" t="str">
            <v>Cadmium</v>
          </cell>
          <cell r="F1864" t="str">
            <v>7440-43-9</v>
          </cell>
        </row>
        <row r="1865">
          <cell r="E1865" t="str">
            <v>Butyl acetate</v>
          </cell>
          <cell r="F1865" t="str">
            <v>123-86-4</v>
          </cell>
        </row>
        <row r="1866">
          <cell r="E1866" t="str">
            <v>Butyl acrylate</v>
          </cell>
          <cell r="F1866" t="str">
            <v>141-32-2</v>
          </cell>
        </row>
        <row r="1867">
          <cell r="E1867" t="str">
            <v>Butylamine</v>
          </cell>
          <cell r="F1867" t="str">
            <v>109-73-9</v>
          </cell>
        </row>
        <row r="1868">
          <cell r="E1868" t="str">
            <v>Bromobenzene</v>
          </cell>
          <cell r="F1868" t="str">
            <v>108-86-1</v>
          </cell>
        </row>
        <row r="1869">
          <cell r="E1869" t="str">
            <v>Bromoacetone</v>
          </cell>
          <cell r="F1869" t="str">
            <v>598-31-2</v>
          </cell>
        </row>
        <row r="1870">
          <cell r="E1870" t="str">
            <v>bis-(2-Chloroethoxy)methane</v>
          </cell>
          <cell r="F1870" t="str">
            <v>111-91-1</v>
          </cell>
        </row>
        <row r="1871">
          <cell r="E1871" t="str">
            <v>bis-(2-Chloroethyl)ether</v>
          </cell>
          <cell r="F1871" t="str">
            <v>111-44-4</v>
          </cell>
        </row>
        <row r="1872">
          <cell r="E1872" t="str">
            <v>bis-(2-Ethylhexyl)phthalate</v>
          </cell>
          <cell r="F1872" t="str">
            <v>117-81-7</v>
          </cell>
        </row>
        <row r="1873">
          <cell r="E1873" t="str">
            <v>bis(2-Ethylhexyl)adipate</v>
          </cell>
          <cell r="F1873" t="str">
            <v>103-23-1</v>
          </cell>
        </row>
        <row r="1874">
          <cell r="E1874" t="str">
            <v>Biologic Oxygen Demand</v>
          </cell>
          <cell r="F1874" t="str">
            <v>BOD</v>
          </cell>
        </row>
        <row r="1875">
          <cell r="E1875" t="str">
            <v>Bicarbonate Alkalinity as CACO3</v>
          </cell>
          <cell r="F1875" t="str">
            <v>71-52-3</v>
          </cell>
        </row>
        <row r="1876">
          <cell r="E1876" t="str">
            <v>Benzene</v>
          </cell>
          <cell r="F1876" t="str">
            <v>71-43-2</v>
          </cell>
        </row>
        <row r="1877">
          <cell r="E1877" t="str">
            <v>alpha-Chlorotoluene</v>
          </cell>
          <cell r="F1877" t="str">
            <v>100-44-7</v>
          </cell>
        </row>
        <row r="1878">
          <cell r="E1878" t="str">
            <v>Anthracene</v>
          </cell>
          <cell r="F1878" t="str">
            <v>120-12-7</v>
          </cell>
        </row>
        <row r="1879">
          <cell r="E1879" t="str">
            <v>Asbestos, Anthophyllite</v>
          </cell>
          <cell r="F1879" t="str">
            <v>77536-67-5</v>
          </cell>
        </row>
        <row r="1880">
          <cell r="E1880" t="str">
            <v>7H-Dibenzo(c,g)carbazole</v>
          </cell>
          <cell r="F1880" t="str">
            <v>194-59-2</v>
          </cell>
        </row>
        <row r="1881">
          <cell r="E1881" t="str">
            <v>5-Nitro-o-anisidine</v>
          </cell>
          <cell r="F1881" t="str">
            <v>99-59-2</v>
          </cell>
        </row>
        <row r="1882">
          <cell r="E1882" t="str">
            <v>5-Nitroacenaphthene</v>
          </cell>
          <cell r="F1882" t="str">
            <v>602-87-9</v>
          </cell>
        </row>
        <row r="1883">
          <cell r="E1883" t="str">
            <v>4-Nitrotoluene</v>
          </cell>
          <cell r="F1883" t="str">
            <v>99-99-0</v>
          </cell>
        </row>
        <row r="1884">
          <cell r="E1884" t="str">
            <v>4-Nitrophenol</v>
          </cell>
          <cell r="F1884" t="str">
            <v>100-02-7</v>
          </cell>
        </row>
        <row r="1885">
          <cell r="E1885" t="str">
            <v>4-Nitroaniline</v>
          </cell>
          <cell r="F1885" t="str">
            <v>100-01-6</v>
          </cell>
        </row>
        <row r="1886">
          <cell r="E1886" t="str">
            <v>4-Nitrobiphenyl</v>
          </cell>
          <cell r="F1886" t="str">
            <v>92-93-3</v>
          </cell>
        </row>
        <row r="1887">
          <cell r="E1887" t="str">
            <v>4-Methyl-2-pentanone</v>
          </cell>
          <cell r="F1887" t="str">
            <v>108-10-1</v>
          </cell>
        </row>
        <row r="1888">
          <cell r="E1888" t="str">
            <v>4-Chloroaniline</v>
          </cell>
          <cell r="F1888" t="str">
            <v>106-47-8</v>
          </cell>
        </row>
        <row r="1889">
          <cell r="E1889" t="str">
            <v>4-Chloro-2-methylphenol</v>
          </cell>
          <cell r="F1889" t="str">
            <v>1570-64-5</v>
          </cell>
        </row>
        <row r="1890">
          <cell r="E1890" t="str">
            <v>4-Bromophenyl phenyl ether</v>
          </cell>
          <cell r="F1890" t="str">
            <v>101-55-3</v>
          </cell>
        </row>
        <row r="1891">
          <cell r="E1891" t="str">
            <v>4-Bromofluorobenzene</v>
          </cell>
          <cell r="F1891" t="str">
            <v>460-00-4</v>
          </cell>
        </row>
        <row r="1892">
          <cell r="E1892" t="str">
            <v>4-Amino-2,6-dinitrotoluene</v>
          </cell>
          <cell r="F1892" t="str">
            <v>19406-51-0</v>
          </cell>
        </row>
        <row r="1893">
          <cell r="E1893" t="str">
            <v>4,4'-Oxydianiline</v>
          </cell>
          <cell r="F1893" t="str">
            <v>101-80-4</v>
          </cell>
        </row>
        <row r="1894">
          <cell r="E1894" t="str">
            <v>4,4'-Methylenebis(2-chloraniline)</v>
          </cell>
          <cell r="F1894" t="str">
            <v>101-14-4</v>
          </cell>
        </row>
        <row r="1895">
          <cell r="E1895" t="str">
            <v>3-Methylphenol</v>
          </cell>
          <cell r="F1895" t="str">
            <v>108-39-4</v>
          </cell>
        </row>
        <row r="1896">
          <cell r="E1896" t="str">
            <v>3-Nitroaniline</v>
          </cell>
          <cell r="F1896" t="str">
            <v>99-09-2</v>
          </cell>
        </row>
        <row r="1897">
          <cell r="E1897" t="str">
            <v>3-Methylcholanthrene</v>
          </cell>
          <cell r="F1897" t="str">
            <v>56-49-5</v>
          </cell>
        </row>
        <row r="1898">
          <cell r="E1898" t="str">
            <v>3-Hydroxycarbofuran</v>
          </cell>
          <cell r="F1898" t="str">
            <v>16655-82-6</v>
          </cell>
        </row>
        <row r="1899">
          <cell r="E1899" t="str">
            <v>3-Chlorophenol</v>
          </cell>
          <cell r="F1899" t="str">
            <v>108-43-0</v>
          </cell>
        </row>
        <row r="1900">
          <cell r="E1900" t="str">
            <v>3-Chloropropionitrile</v>
          </cell>
          <cell r="F1900" t="str">
            <v>542-76-7</v>
          </cell>
        </row>
        <row r="1901">
          <cell r="E1901" t="str">
            <v>3,5-Dichlorobenzoic acid</v>
          </cell>
          <cell r="F1901" t="str">
            <v>51-36-5</v>
          </cell>
        </row>
        <row r="1902">
          <cell r="E1902" t="str">
            <v>3,4-Dinitrotoluene</v>
          </cell>
          <cell r="F1902" t="str">
            <v>610-39-9</v>
          </cell>
        </row>
        <row r="1903">
          <cell r="E1903" t="str">
            <v>3,4-Dichlorophenol</v>
          </cell>
          <cell r="F1903" t="str">
            <v>95-77-2</v>
          </cell>
        </row>
        <row r="1904">
          <cell r="E1904" t="str">
            <v>3,4-Dimethylphenol</v>
          </cell>
          <cell r="F1904" t="str">
            <v>95-65-8</v>
          </cell>
        </row>
        <row r="1905">
          <cell r="E1905" t="str">
            <v>3-Methylphenol/4-Methylphenol Coelution</v>
          </cell>
          <cell r="F1905" t="str">
            <v>3METH4METH</v>
          </cell>
        </row>
        <row r="1906">
          <cell r="E1906" t="str">
            <v>3,5-Dichloroaniline</v>
          </cell>
          <cell r="F1906" t="str">
            <v>618-87-1</v>
          </cell>
        </row>
        <row r="1907">
          <cell r="E1907" t="str">
            <v>2-Propanol</v>
          </cell>
          <cell r="F1907" t="str">
            <v>67-63-0</v>
          </cell>
        </row>
        <row r="1908">
          <cell r="E1908" t="str">
            <v>2-Picoline</v>
          </cell>
          <cell r="F1908" t="str">
            <v>109-06-8</v>
          </cell>
        </row>
        <row r="1909">
          <cell r="E1909" t="str">
            <v>2-Nitrophenol</v>
          </cell>
          <cell r="F1909" t="str">
            <v>88-75-5</v>
          </cell>
        </row>
        <row r="1910">
          <cell r="E1910" t="str">
            <v>2-Nitrotoluene</v>
          </cell>
          <cell r="F1910" t="str">
            <v>88-72-2</v>
          </cell>
        </row>
        <row r="1911">
          <cell r="E1911" t="str">
            <v>o-Nitrotoluene</v>
          </cell>
          <cell r="F1911" t="str">
            <v>88-72-2</v>
          </cell>
        </row>
        <row r="1912">
          <cell r="E1912" t="str">
            <v>2-Nitroaniline</v>
          </cell>
          <cell r="F1912" t="str">
            <v>88-74-4</v>
          </cell>
        </row>
        <row r="1913">
          <cell r="E1913" t="str">
            <v>2-Methylphenol (o-Cresol)</v>
          </cell>
          <cell r="F1913" t="str">
            <v>95-48-7</v>
          </cell>
        </row>
        <row r="1914">
          <cell r="E1914" t="str">
            <v>2-Methylbutane</v>
          </cell>
          <cell r="F1914" t="str">
            <v>78-78-4</v>
          </cell>
        </row>
        <row r="1915">
          <cell r="E1915" t="str">
            <v>2-Methoxyethanol</v>
          </cell>
          <cell r="F1915" t="str">
            <v>109-86-4</v>
          </cell>
        </row>
        <row r="1916">
          <cell r="E1916" t="str">
            <v>2-Butanol</v>
          </cell>
          <cell r="F1916" t="str">
            <v>78-92-2</v>
          </cell>
        </row>
        <row r="1917">
          <cell r="E1917" t="str">
            <v>2-Butanone</v>
          </cell>
          <cell r="F1917" t="str">
            <v>78-93-3</v>
          </cell>
        </row>
        <row r="1918">
          <cell r="E1918" t="str">
            <v>2-Chloronaphthalene</v>
          </cell>
          <cell r="F1918" t="str">
            <v>91-58-7</v>
          </cell>
        </row>
        <row r="1919">
          <cell r="E1919" t="str">
            <v>2,6-Dimethylnaphthalene</v>
          </cell>
          <cell r="F1919" t="str">
            <v>581-42-0</v>
          </cell>
        </row>
        <row r="1920">
          <cell r="E1920" t="str">
            <v>2,4-Dinitrotoluene</v>
          </cell>
          <cell r="F1920" t="str">
            <v>121-14-2</v>
          </cell>
        </row>
        <row r="1921">
          <cell r="E1921" t="str">
            <v>2,4-Dimethylphenol</v>
          </cell>
          <cell r="F1921" t="str">
            <v>105-67-9</v>
          </cell>
        </row>
        <row r="1922">
          <cell r="E1922" t="str">
            <v>2,4-Dinitrophenol</v>
          </cell>
          <cell r="F1922" t="str">
            <v>51-28-5</v>
          </cell>
        </row>
        <row r="1923">
          <cell r="E1923" t="str">
            <v>2,6-Dichlorophenol</v>
          </cell>
          <cell r="F1923" t="str">
            <v>87-65-0</v>
          </cell>
        </row>
        <row r="1924">
          <cell r="E1924" t="str">
            <v>2,4-Dichlorophenol</v>
          </cell>
          <cell r="F1924" t="str">
            <v>120-83-2</v>
          </cell>
        </row>
        <row r="1925">
          <cell r="E1925" t="str">
            <v>2,4-D</v>
          </cell>
          <cell r="F1925" t="str">
            <v>94-75-7</v>
          </cell>
        </row>
        <row r="1926">
          <cell r="E1926" t="str">
            <v>2,4-DB</v>
          </cell>
          <cell r="F1926" t="str">
            <v>94-82-6</v>
          </cell>
        </row>
        <row r="1927">
          <cell r="E1927" t="str">
            <v>2,4'-DDD</v>
          </cell>
          <cell r="F1927" t="str">
            <v>53-19-0</v>
          </cell>
        </row>
        <row r="1928">
          <cell r="E1928" t="str">
            <v>2,4-Dichlorophenylacetic acid</v>
          </cell>
          <cell r="F1928" t="str">
            <v>19719-28-9</v>
          </cell>
        </row>
        <row r="1929">
          <cell r="E1929" t="str">
            <v>2,4,5-Trimethylaniline</v>
          </cell>
          <cell r="F1929" t="str">
            <v>137-17-7</v>
          </cell>
        </row>
        <row r="1930">
          <cell r="E1930" t="str">
            <v>2,4,5-Trichlorophenol</v>
          </cell>
          <cell r="F1930" t="str">
            <v>95-95-4</v>
          </cell>
        </row>
        <row r="1931">
          <cell r="E1931" t="str">
            <v>2,3,4,6,7,8-Hexachlorodibenzofuran</v>
          </cell>
          <cell r="F1931" t="str">
            <v>60851-34-5</v>
          </cell>
        </row>
        <row r="1932">
          <cell r="E1932" t="str">
            <v>2,3,3',4,4',5,5'-Heptachlorobiphenyl</v>
          </cell>
          <cell r="F1932" t="str">
            <v>39635-31-9</v>
          </cell>
        </row>
        <row r="1933">
          <cell r="E1933" t="str">
            <v>2,3,3',4,4',5'-Hexachlorobiphenyl</v>
          </cell>
          <cell r="F1933" t="str">
            <v>69782-90-7</v>
          </cell>
        </row>
        <row r="1934">
          <cell r="E1934" t="str">
            <v>2,3,3',4,4',5-Hexachlorobiphenyl</v>
          </cell>
          <cell r="F1934" t="str">
            <v>38380-08-4</v>
          </cell>
        </row>
        <row r="1935">
          <cell r="E1935" t="str">
            <v>2,3,3',4,4',6-Hexachlorobiphenyl</v>
          </cell>
          <cell r="F1935" t="str">
            <v>74472-42-7</v>
          </cell>
        </row>
        <row r="1936">
          <cell r="E1936" t="str">
            <v>2,3,3',4,4'-Pentachlorobiphenyl</v>
          </cell>
          <cell r="F1936" t="str">
            <v>32598-14-4</v>
          </cell>
        </row>
        <row r="1937">
          <cell r="E1937" t="str">
            <v>2,3,3',4',6-Pentachlorobiphenyl</v>
          </cell>
          <cell r="F1937" t="str">
            <v>38380-03-9</v>
          </cell>
        </row>
        <row r="1938">
          <cell r="E1938" t="str">
            <v>2,3,3',4'-Tetrachlorobiphenyl</v>
          </cell>
          <cell r="F1938" t="str">
            <v>41464-43-1</v>
          </cell>
        </row>
        <row r="1939">
          <cell r="E1939" t="str">
            <v>2,3,3'-Trichlorobiphenyl</v>
          </cell>
          <cell r="F1939" t="str">
            <v>38444-84-7</v>
          </cell>
        </row>
        <row r="1940">
          <cell r="E1940" t="str">
            <v>2,3',4,4',5,5'-Hexachlorobiphenyl</v>
          </cell>
          <cell r="F1940" t="str">
            <v>52663-72-6</v>
          </cell>
        </row>
        <row r="1941">
          <cell r="E1941" t="str">
            <v>2,3,4,4',5,6-Hexachlorobiphenyl</v>
          </cell>
          <cell r="F1941" t="str">
            <v>41411-63-6</v>
          </cell>
        </row>
        <row r="1942">
          <cell r="E1942" t="str">
            <v>2,3,4,4',5-Pentachlorobiphenyl</v>
          </cell>
          <cell r="F1942" t="str">
            <v>74472-37-0</v>
          </cell>
        </row>
        <row r="1943">
          <cell r="E1943" t="str">
            <v>2',3,4,4',5-Pentachlorobiphenyl</v>
          </cell>
          <cell r="F1943" t="str">
            <v>65510-44-3</v>
          </cell>
        </row>
        <row r="1944">
          <cell r="E1944" t="str">
            <v>2,3',4,4',5-Pentachlorobiphenyl</v>
          </cell>
          <cell r="F1944" t="str">
            <v>31508-00-6</v>
          </cell>
        </row>
        <row r="1945">
          <cell r="E1945" t="str">
            <v>2,3,4,4'-Tetrachlorobiphenyl</v>
          </cell>
          <cell r="F1945" t="str">
            <v>33025-41-1</v>
          </cell>
        </row>
        <row r="1946">
          <cell r="E1946" t="str">
            <v>2,3',4,4'-Tetrachlorobiphenyl</v>
          </cell>
          <cell r="F1946" t="str">
            <v>32598-10-0</v>
          </cell>
        </row>
        <row r="1947">
          <cell r="E1947" t="str">
            <v>2,3',4',5-Tetrachlorobiphenyl</v>
          </cell>
          <cell r="F1947" t="str">
            <v>32598-11-1</v>
          </cell>
        </row>
        <row r="1948">
          <cell r="E1948" t="str">
            <v>2,3,4-Trichlorobiphenyl</v>
          </cell>
          <cell r="F1948" t="str">
            <v>55702-46-0</v>
          </cell>
        </row>
        <row r="1949">
          <cell r="E1949" t="str">
            <v>2',3,4-Trichlorobiphenyl</v>
          </cell>
          <cell r="F1949" t="str">
            <v>38444-86-9</v>
          </cell>
        </row>
        <row r="1950">
          <cell r="E1950" t="str">
            <v>2,3',4-Trichlorobiphenyl</v>
          </cell>
          <cell r="F1950" t="str">
            <v>55712-37-3</v>
          </cell>
        </row>
        <row r="1951">
          <cell r="E1951" t="str">
            <v>2,3,4'-Trichlorobiphenyl</v>
          </cell>
          <cell r="F1951" t="str">
            <v>38444-85-8</v>
          </cell>
        </row>
        <row r="1952">
          <cell r="E1952" t="str">
            <v>2,3',5'-Trichlorobiphenyl</v>
          </cell>
          <cell r="F1952" t="str">
            <v>37680-68-5</v>
          </cell>
        </row>
        <row r="1953">
          <cell r="E1953" t="str">
            <v>2,3',5-Trichlorobiphenyl</v>
          </cell>
          <cell r="F1953" t="str">
            <v>38444-81-4</v>
          </cell>
        </row>
        <row r="1954">
          <cell r="E1954" t="str">
            <v>2,3,6-Trichlorobiphenyl</v>
          </cell>
          <cell r="F1954" t="str">
            <v>55702-45-9</v>
          </cell>
        </row>
        <row r="1955">
          <cell r="E1955" t="str">
            <v>2,3',6-Trichlorobiphenyl</v>
          </cell>
          <cell r="F1955" t="str">
            <v>38444-76-7</v>
          </cell>
        </row>
        <row r="1956">
          <cell r="E1956" t="str">
            <v>2,2',5-Trichlorobiphenyl</v>
          </cell>
          <cell r="F1956" t="str">
            <v>37680-65-2</v>
          </cell>
        </row>
        <row r="1957">
          <cell r="E1957" t="str">
            <v>2,2',5,5'-Tetrachlorobiphenyl</v>
          </cell>
          <cell r="F1957" t="str">
            <v>35693-99-3</v>
          </cell>
        </row>
        <row r="1958">
          <cell r="E1958" t="str">
            <v>2,2',4,5'-Tetrachlorobiphenyl</v>
          </cell>
          <cell r="F1958" t="str">
            <v>41464-40-8</v>
          </cell>
        </row>
        <row r="1959">
          <cell r="E1959" t="str">
            <v>2,2',3,3',4,4',5,5',6-Nonachlorobiphenyl</v>
          </cell>
          <cell r="F1959" t="str">
            <v>40186-72-9</v>
          </cell>
        </row>
        <row r="1960">
          <cell r="E1960" t="str">
            <v>2,2',3,3',4,4',5,5'-Octachlorobiphenyl</v>
          </cell>
          <cell r="F1960" t="str">
            <v>35694-08-7</v>
          </cell>
        </row>
        <row r="1961">
          <cell r="E1961" t="str">
            <v>2,2',3,3',4,4',5,6-Octachlorobiphenyl</v>
          </cell>
          <cell r="F1961" t="str">
            <v>52663-78-2</v>
          </cell>
        </row>
        <row r="1962">
          <cell r="E1962" t="str">
            <v>2,2',3,3',4,4',5-Heptachlorobiphenyl</v>
          </cell>
          <cell r="F1962" t="str">
            <v>35065-30-6</v>
          </cell>
        </row>
        <row r="1963">
          <cell r="E1963" t="str">
            <v>2,2',3,3',4,4'-Hexachlorobiphenyl</v>
          </cell>
          <cell r="F1963" t="str">
            <v>38380-07-3</v>
          </cell>
        </row>
        <row r="1964">
          <cell r="E1964" t="str">
            <v>2,2',3,3',4',5,6-Heptachlorobiphenyl</v>
          </cell>
          <cell r="F1964" t="str">
            <v>52663-70-4</v>
          </cell>
        </row>
        <row r="1965">
          <cell r="E1965" t="str">
            <v>2,2',3,3',4,5,6'-Heptachlorobiphenyl</v>
          </cell>
          <cell r="F1965" t="str">
            <v>38411-25-5</v>
          </cell>
        </row>
        <row r="1966">
          <cell r="E1966" t="str">
            <v>2,2',3,3',4,6'-Hexachlorobiphenyl</v>
          </cell>
          <cell r="F1966" t="str">
            <v>38380-05-1</v>
          </cell>
        </row>
        <row r="1967">
          <cell r="E1967" t="str">
            <v>2,2',3,3'-Tetrachlorobiphenyl (PCB-40)</v>
          </cell>
          <cell r="F1967" t="str">
            <v>38444-93-8</v>
          </cell>
        </row>
        <row r="1968">
          <cell r="E1968" t="str">
            <v>2,2',3,4,4',5,5',6-Octachlorobiphenyl</v>
          </cell>
          <cell r="F1968" t="str">
            <v>52663-76-0</v>
          </cell>
        </row>
        <row r="1969">
          <cell r="E1969" t="str">
            <v>2,2',3,4,4',5,5'-Heptachlorobiphenyl</v>
          </cell>
          <cell r="F1969" t="str">
            <v>35065-29-3</v>
          </cell>
        </row>
        <row r="1970">
          <cell r="E1970" t="str">
            <v>2,2',3,4,4',5',6-Heptachlorobiphenyl</v>
          </cell>
          <cell r="F1970" t="str">
            <v>52663-69-1</v>
          </cell>
        </row>
        <row r="1971">
          <cell r="E1971" t="str">
            <v>2,2',3,4,4',5'-Hexachlorobiphenyl</v>
          </cell>
          <cell r="F1971" t="str">
            <v>35065-28-2</v>
          </cell>
        </row>
        <row r="1972">
          <cell r="E1972" t="str">
            <v>2,2',3,4,4',6,6'-Heptachlorobiphenyl</v>
          </cell>
          <cell r="F1972" t="str">
            <v>74472-48-3</v>
          </cell>
        </row>
        <row r="1973">
          <cell r="E1973" t="str">
            <v>2,2',3,4',5,5',6-Heptachlorobiphenyl</v>
          </cell>
          <cell r="F1973" t="str">
            <v>52663-68-0</v>
          </cell>
        </row>
        <row r="1974">
          <cell r="E1974" t="str">
            <v>2,2',3,4,5,5'-Hexachlorobiphenyl</v>
          </cell>
          <cell r="F1974" t="str">
            <v>52712-04-6</v>
          </cell>
        </row>
        <row r="1975">
          <cell r="E1975" t="str">
            <v>2,2',3,4',5',6-Hexachlorobiphenyl</v>
          </cell>
          <cell r="F1975" t="str">
            <v>38380-04-0</v>
          </cell>
        </row>
        <row r="1976">
          <cell r="E1976" t="str">
            <v>2,2',3',4,5-Pentachlorobiphenyl</v>
          </cell>
          <cell r="F1976" t="str">
            <v>41464-51-1</v>
          </cell>
        </row>
        <row r="1977">
          <cell r="E1977" t="str">
            <v>2,2',3,4',5-Pentachlorobiphenyl</v>
          </cell>
          <cell r="F1977" t="str">
            <v>68194-07-0</v>
          </cell>
        </row>
        <row r="1978">
          <cell r="E1978" t="str">
            <v>2,2',3,4,5'-Pentachlorobiphenyl</v>
          </cell>
          <cell r="F1978" t="str">
            <v>38380-02-8</v>
          </cell>
        </row>
        <row r="1979">
          <cell r="E1979" t="str">
            <v>2,2',3,5,5',6-Hexachlorobiphenyl</v>
          </cell>
          <cell r="F1979" t="str">
            <v>52663-63-5</v>
          </cell>
        </row>
        <row r="1980">
          <cell r="E1980" t="str">
            <v>2,2',3,5',6-Pentachlorobiphenyl</v>
          </cell>
          <cell r="F1980" t="str">
            <v>38379-99-6</v>
          </cell>
        </row>
        <row r="1981">
          <cell r="E1981" t="str">
            <v>2,2',3,5'-Tetrachlorobiphenyl</v>
          </cell>
          <cell r="F1981" t="str">
            <v>41464-39-5</v>
          </cell>
        </row>
        <row r="1982">
          <cell r="E1982" t="str">
            <v>2,2',3-Trichlorobiphenyl</v>
          </cell>
          <cell r="F1982" t="str">
            <v>38444-78-9</v>
          </cell>
        </row>
        <row r="1983">
          <cell r="E1983" t="str">
            <v>2,2',4,4',5,5'-Hexachlorobiphenyl</v>
          </cell>
          <cell r="F1983" t="str">
            <v>35065-27-1</v>
          </cell>
        </row>
        <row r="1984">
          <cell r="E1984" t="str">
            <v>2,2',4,4',5-Pentachlorobiphenyl</v>
          </cell>
          <cell r="F1984" t="str">
            <v>38380-01-7</v>
          </cell>
        </row>
        <row r="1985">
          <cell r="E1985" t="str">
            <v>2,2',4,5,5'-Pentachlorobiphenyl</v>
          </cell>
          <cell r="F1985" t="str">
            <v>37680-73-2</v>
          </cell>
        </row>
        <row r="1986">
          <cell r="E1986" t="str">
            <v>2,4,4',5-Tetrachlorobiphenyl</v>
          </cell>
          <cell r="F1986" t="str">
            <v>32690-93-0</v>
          </cell>
        </row>
        <row r="1987">
          <cell r="E1987" t="str">
            <v>2,4,4'-Trichlorobiphenyl</v>
          </cell>
          <cell r="F1987" t="str">
            <v>7012-37-5</v>
          </cell>
        </row>
        <row r="1988">
          <cell r="E1988" t="str">
            <v>2,4,5-Trichlorobiphenyl</v>
          </cell>
          <cell r="F1988" t="str">
            <v>15862-07-4</v>
          </cell>
        </row>
        <row r="1989">
          <cell r="E1989" t="str">
            <v>2,4',5-Trichlorobiphenyl</v>
          </cell>
          <cell r="F1989" t="str">
            <v>16606-02-3</v>
          </cell>
        </row>
        <row r="1990">
          <cell r="E1990" t="str">
            <v>2,4,6-Trichlorobiphenyl</v>
          </cell>
          <cell r="F1990" t="str">
            <v>35693-92-6</v>
          </cell>
        </row>
        <row r="1991">
          <cell r="E1991" t="str">
            <v>2,4',6-Trichlorobiphenyl</v>
          </cell>
          <cell r="F1991" t="str">
            <v>38444-77-8</v>
          </cell>
        </row>
        <row r="1992">
          <cell r="E1992" t="str">
            <v>2,4'-Dichlorobiphenyl</v>
          </cell>
          <cell r="F1992" t="str">
            <v>34883-43-7</v>
          </cell>
        </row>
        <row r="1993">
          <cell r="E1993" t="str">
            <v>2,4-Dichlorobiphenyl</v>
          </cell>
          <cell r="F1993" t="str">
            <v>33284-50-3</v>
          </cell>
        </row>
        <row r="1994">
          <cell r="E1994" t="str">
            <v>2,5-Dichlorobiphenyl</v>
          </cell>
          <cell r="F1994" t="str">
            <v>34883-39-1</v>
          </cell>
        </row>
        <row r="1995">
          <cell r="E1995" t="str">
            <v>2,6-Dichlorobiphenyl</v>
          </cell>
          <cell r="F1995" t="str">
            <v>33146-45-1</v>
          </cell>
        </row>
        <row r="1996">
          <cell r="E1996" t="str">
            <v>3,3',4,4',5,5'-Hexachlorobiphenyl</v>
          </cell>
          <cell r="F1996" t="str">
            <v>32774-16-6</v>
          </cell>
        </row>
        <row r="1997">
          <cell r="E1997" t="str">
            <v>3,3',4,4',5-Pentachlorobiphenyl</v>
          </cell>
          <cell r="F1997" t="str">
            <v>57465-28-8</v>
          </cell>
        </row>
        <row r="1998">
          <cell r="E1998" t="str">
            <v>3,3',4,4'-Tetrachlorobiphenyl</v>
          </cell>
          <cell r="F1998" t="str">
            <v>32598-13-3</v>
          </cell>
        </row>
        <row r="1999">
          <cell r="E1999" t="str">
            <v>3,3',4-Trichlorobiphenyl</v>
          </cell>
          <cell r="F1999" t="str">
            <v>37680-69-6</v>
          </cell>
        </row>
        <row r="2000">
          <cell r="E2000" t="str">
            <v>3,3',5-Trichlorobiphenyl</v>
          </cell>
          <cell r="F2000" t="str">
            <v>38444-87-0</v>
          </cell>
        </row>
        <row r="2001">
          <cell r="E2001" t="str">
            <v>3,3'-Dichlorobiphenyl</v>
          </cell>
          <cell r="F2001" t="str">
            <v>2050-67-1</v>
          </cell>
        </row>
        <row r="2002">
          <cell r="E2002" t="str">
            <v>3,4,4',5-Tetrachlorobiphenyl</v>
          </cell>
          <cell r="F2002" t="str">
            <v>70362-50-4</v>
          </cell>
        </row>
        <row r="2003">
          <cell r="E2003" t="str">
            <v>3,4,4'-Trichlorobiphenyl (PCB-37)</v>
          </cell>
          <cell r="F2003" t="str">
            <v>38444-90-5</v>
          </cell>
        </row>
        <row r="2004">
          <cell r="E2004" t="str">
            <v>3,4,5-Trichlorobiphenyl (PCB-38)</v>
          </cell>
          <cell r="F2004" t="str">
            <v>53555-66-1</v>
          </cell>
        </row>
        <row r="2005">
          <cell r="E2005" t="str">
            <v>3,4-Dichlorobiphenyl</v>
          </cell>
          <cell r="F2005" t="str">
            <v>2974-92-7</v>
          </cell>
        </row>
        <row r="2006">
          <cell r="E2006" t="str">
            <v>4,4'-Dichlorobiphenyl</v>
          </cell>
          <cell r="F2006" t="str">
            <v>2050-68-2</v>
          </cell>
        </row>
        <row r="2007">
          <cell r="E2007" t="str">
            <v>2,4,5,-Trichlorobiphenyl</v>
          </cell>
          <cell r="F2007" t="str">
            <v>4841-20-7</v>
          </cell>
        </row>
        <row r="2008">
          <cell r="E2008" t="str">
            <v>2,2,4,4-Tetrachlorobiphenyl</v>
          </cell>
          <cell r="F2008" t="str">
            <v>2437-79-8</v>
          </cell>
        </row>
        <row r="2009">
          <cell r="E2009" t="str">
            <v>2,2,4,4,5,6-Hexachlorobiphenyl</v>
          </cell>
          <cell r="F2009" t="str">
            <v>60145-22-4</v>
          </cell>
        </row>
        <row r="2010">
          <cell r="E2010" t="str">
            <v>2,2,3,3,4,4,6-Heptachlorobiphenyl</v>
          </cell>
          <cell r="F2010" t="str">
            <v>52663-71-5</v>
          </cell>
        </row>
        <row r="2011">
          <cell r="E2011" t="str">
            <v>2,2,3,3,4,5,6,6-Octachlorobiphenyl</v>
          </cell>
          <cell r="F2011" t="str">
            <v>40186-71-8</v>
          </cell>
        </row>
        <row r="2012">
          <cell r="E2012" t="str">
            <v>2,2,3,4,6-Pentachlorobiphenyl</v>
          </cell>
          <cell r="F2012" t="str">
            <v>68194-05-8</v>
          </cell>
        </row>
        <row r="2013">
          <cell r="E2013" t="str">
            <v>2,3-Dichlorobiphenyl</v>
          </cell>
          <cell r="F2013" t="str">
            <v>16605-91-7</v>
          </cell>
        </row>
        <row r="2014">
          <cell r="E2014" t="str">
            <v>2,3'-Dichlorobiphenyl</v>
          </cell>
          <cell r="F2014" t="str">
            <v>25569-80-6</v>
          </cell>
        </row>
        <row r="2015">
          <cell r="E2015" t="str">
            <v>3,5-Dichlorobiphenyl</v>
          </cell>
          <cell r="F2015" t="str">
            <v>34883-41-5</v>
          </cell>
        </row>
        <row r="2016">
          <cell r="E2016" t="str">
            <v>4-Chlorobiphenyl</v>
          </cell>
          <cell r="F2016" t="str">
            <v>2051-62-9</v>
          </cell>
        </row>
        <row r="2017">
          <cell r="E2017" t="str">
            <v>3-Chlorobiphenyl</v>
          </cell>
          <cell r="F2017" t="str">
            <v>2051-61-8</v>
          </cell>
        </row>
        <row r="2018">
          <cell r="E2018" t="str">
            <v>2-Chlorobiphenyl</v>
          </cell>
          <cell r="F2018" t="str">
            <v>2051-60-7</v>
          </cell>
        </row>
        <row r="2019">
          <cell r="E2019" t="str">
            <v>2,2'-Dichlorbiphenyl</v>
          </cell>
          <cell r="F2019" t="str">
            <v>13029-08-8</v>
          </cell>
        </row>
        <row r="2020">
          <cell r="E2020" t="str">
            <v>2,2',6-Trichlorobiphenyl</v>
          </cell>
          <cell r="F2020" t="str">
            <v>38444-73-4</v>
          </cell>
        </row>
        <row r="2021">
          <cell r="E2021" t="str">
            <v>2,2',4-Trichlorobiphenyl</v>
          </cell>
          <cell r="F2021" t="str">
            <v>37680-66-3</v>
          </cell>
        </row>
        <row r="2022">
          <cell r="E2022" t="str">
            <v>2,2',3,4-Tetrachlorobiphenyl</v>
          </cell>
          <cell r="F2022" t="str">
            <v>36559-22-5</v>
          </cell>
        </row>
        <row r="2023">
          <cell r="E2023" t="str">
            <v>3,4'-Dichlorobiphenyl</v>
          </cell>
          <cell r="F2023" t="str">
            <v>2974-90-5</v>
          </cell>
        </row>
        <row r="2024">
          <cell r="E2024" t="str">
            <v>3,4',5-Trichlorobiphenyl</v>
          </cell>
          <cell r="F2024" t="str">
            <v>38444-88-1</v>
          </cell>
        </row>
        <row r="2025">
          <cell r="E2025" t="str">
            <v>Decachlorobiphenyl</v>
          </cell>
          <cell r="F2025" t="str">
            <v>2051-24-3</v>
          </cell>
        </row>
        <row r="2026">
          <cell r="E2026" t="str">
            <v>Parathion methyl</v>
          </cell>
          <cell r="F2026" t="str">
            <v>298-00-0</v>
          </cell>
        </row>
        <row r="2027">
          <cell r="E2027" t="str">
            <v>Phenanthrene</v>
          </cell>
          <cell r="F2027" t="str">
            <v>85-01-8</v>
          </cell>
        </row>
        <row r="2028">
          <cell r="E2028" t="str">
            <v>Phenols, Chlorinated</v>
          </cell>
          <cell r="F2028" t="str">
            <v>1336-35-2</v>
          </cell>
        </row>
        <row r="2029">
          <cell r="E2029" t="str">
            <v>Phenols, Non-chlorinated</v>
          </cell>
          <cell r="F2029" t="str">
            <v>E749-63-0</v>
          </cell>
        </row>
        <row r="2030">
          <cell r="E2030" t="str">
            <v>Di-isopropyl ether (DIPE)</v>
          </cell>
          <cell r="F2030" t="str">
            <v>108-20-3</v>
          </cell>
        </row>
        <row r="2031">
          <cell r="E2031" t="str">
            <v>p-Nitrotoluene</v>
          </cell>
          <cell r="F2031" t="str">
            <v>108-38-3</v>
          </cell>
        </row>
        <row r="2032">
          <cell r="E2032" t="str">
            <v>Pirimphos-ethyl</v>
          </cell>
          <cell r="F2032" t="str">
            <v>23505-41-1</v>
          </cell>
        </row>
        <row r="2033">
          <cell r="E2033" t="str">
            <v>Picloram</v>
          </cell>
          <cell r="F2033" t="str">
            <v>1918-02-1</v>
          </cell>
        </row>
        <row r="2034">
          <cell r="E2034" t="str">
            <v>Osmium</v>
          </cell>
          <cell r="F2034" t="str">
            <v>7440-04-2</v>
          </cell>
        </row>
        <row r="2035">
          <cell r="E2035" t="str">
            <v>Hydrogen Sulfide</v>
          </cell>
          <cell r="F2035" t="str">
            <v>7783-06-4</v>
          </cell>
        </row>
        <row r="2036">
          <cell r="E2036" t="str">
            <v>1,4-Dinitrobenzene</v>
          </cell>
          <cell r="F2036" t="str">
            <v>100-25-4</v>
          </cell>
        </row>
        <row r="2037">
          <cell r="E2037" t="str">
            <v>Tritium (Hydrogen 3)</v>
          </cell>
          <cell r="F2037" t="str">
            <v>10028-17-8</v>
          </cell>
        </row>
        <row r="2038">
          <cell r="E2038" t="str">
            <v>Ethylbenzene</v>
          </cell>
          <cell r="F2038" t="str">
            <v>100-41-4</v>
          </cell>
        </row>
        <row r="2039">
          <cell r="E2039" t="str">
            <v>Iodine-131</v>
          </cell>
          <cell r="F2039" t="str">
            <v>10043-66-0</v>
          </cell>
        </row>
        <row r="2040">
          <cell r="E2040" t="str">
            <v>trans-1,3-Dichloropropene</v>
          </cell>
          <cell r="F2040" t="str">
            <v>10061-02-6</v>
          </cell>
        </row>
        <row r="2041">
          <cell r="E2041" t="str">
            <v>n-Nitrosopiperidine</v>
          </cell>
          <cell r="F2041" t="str">
            <v>100-75-4</v>
          </cell>
        </row>
        <row r="2042">
          <cell r="E2042" t="str">
            <v>n-Butylbenzene</v>
          </cell>
          <cell r="F2042" t="str">
            <v>104-51-8</v>
          </cell>
        </row>
        <row r="2043">
          <cell r="E2043" t="str">
            <v>n-Nitrosomethylethylamine</v>
          </cell>
          <cell r="F2043" t="str">
            <v>10595-95-6</v>
          </cell>
        </row>
        <row r="2044">
          <cell r="E2044" t="str">
            <v>1,4-Dichlorobenzene</v>
          </cell>
          <cell r="F2044" t="str">
            <v>106-46-7</v>
          </cell>
        </row>
        <row r="2045">
          <cell r="E2045" t="str">
            <v>p-Benzoquinone</v>
          </cell>
          <cell r="F2045" t="str">
            <v>106-51-4</v>
          </cell>
        </row>
        <row r="2046">
          <cell r="E2046" t="str">
            <v>1,2-Epoxybutane</v>
          </cell>
          <cell r="F2046" t="str">
            <v>106-88-7</v>
          </cell>
        </row>
        <row r="2047">
          <cell r="E2047" t="str">
            <v>1,2-Dibromoethane</v>
          </cell>
          <cell r="F2047" t="str">
            <v>106-93-4</v>
          </cell>
        </row>
        <row r="2048">
          <cell r="E2048" t="str">
            <v>1,3-Butadiene</v>
          </cell>
          <cell r="F2048" t="str">
            <v>106-99-0</v>
          </cell>
        </row>
        <row r="2049">
          <cell r="E2049" t="str">
            <v>1-Bromo-2-chloroethane</v>
          </cell>
          <cell r="F2049" t="str">
            <v>107-04-0</v>
          </cell>
        </row>
        <row r="2050">
          <cell r="E2050" t="str">
            <v>1,2-Dichloroethane</v>
          </cell>
          <cell r="F2050" t="str">
            <v>107-06-2</v>
          </cell>
        </row>
        <row r="2051">
          <cell r="E2051" t="str">
            <v>Glyphosate</v>
          </cell>
          <cell r="F2051" t="str">
            <v>1071-83-6</v>
          </cell>
        </row>
        <row r="2052">
          <cell r="E2052" t="str">
            <v>Ethylene glycol</v>
          </cell>
          <cell r="F2052" t="str">
            <v>107-21-1</v>
          </cell>
        </row>
        <row r="2053">
          <cell r="E2053" t="str">
            <v>Vinyl acetate</v>
          </cell>
          <cell r="F2053" t="str">
            <v>108-05-4</v>
          </cell>
        </row>
        <row r="2054">
          <cell r="E2054" t="str">
            <v>Isopropyl Acetate</v>
          </cell>
          <cell r="F2054" t="str">
            <v>108-21-4</v>
          </cell>
        </row>
        <row r="2055">
          <cell r="E2055" t="str">
            <v>Resorcinol</v>
          </cell>
          <cell r="F2055" t="str">
            <v>108-46-3</v>
          </cell>
        </row>
        <row r="2056">
          <cell r="E2056" t="str">
            <v>1,3,5-Trimethylbenzene</v>
          </cell>
          <cell r="F2056" t="str">
            <v>108-67-8</v>
          </cell>
        </row>
        <row r="2057">
          <cell r="E2057" t="str">
            <v>1,3,5-Trichlorobenzene</v>
          </cell>
          <cell r="F2057" t="str">
            <v>108-70-3</v>
          </cell>
        </row>
        <row r="2058">
          <cell r="E2058" t="str">
            <v>Toluene</v>
          </cell>
          <cell r="F2058" t="str">
            <v>108-88-3</v>
          </cell>
        </row>
        <row r="2059">
          <cell r="E2059" t="str">
            <v>Phenol</v>
          </cell>
          <cell r="F2059" t="str">
            <v>108-95-2</v>
          </cell>
        </row>
        <row r="2060">
          <cell r="E2060" t="str">
            <v>Pentanoic Acid</v>
          </cell>
          <cell r="F2060" t="str">
            <v>109-52-4</v>
          </cell>
        </row>
        <row r="2061">
          <cell r="E2061" t="str">
            <v>n-Propyl Acetate</v>
          </cell>
          <cell r="F2061" t="str">
            <v>109-60-4</v>
          </cell>
        </row>
        <row r="2062">
          <cell r="E2062" t="str">
            <v>Pentane</v>
          </cell>
          <cell r="F2062" t="str">
            <v>109-66-0</v>
          </cell>
        </row>
        <row r="2063">
          <cell r="E2063" t="str">
            <v>1-Pentene</v>
          </cell>
          <cell r="F2063" t="str">
            <v>109-67-1</v>
          </cell>
        </row>
        <row r="2064">
          <cell r="E2064" t="str">
            <v>Malononitrile</v>
          </cell>
          <cell r="F2064" t="str">
            <v>109-77-3</v>
          </cell>
        </row>
        <row r="2065">
          <cell r="E2065" t="str">
            <v>1,4-Dichlorobutane</v>
          </cell>
          <cell r="F2065" t="str">
            <v>110-56-5</v>
          </cell>
        </row>
        <row r="2066">
          <cell r="E2066" t="str">
            <v>trans-1,4-Dichloro-2-butene</v>
          </cell>
          <cell r="F2066" t="str">
            <v>110-57-6</v>
          </cell>
        </row>
        <row r="2067">
          <cell r="E2067" t="str">
            <v>Pentanal</v>
          </cell>
          <cell r="F2067" t="str">
            <v>110-62-3</v>
          </cell>
        </row>
        <row r="2068">
          <cell r="E2068" t="str">
            <v>1-Hexanol</v>
          </cell>
          <cell r="F2068" t="str">
            <v>111-27-3</v>
          </cell>
        </row>
        <row r="2069">
          <cell r="E2069" t="str">
            <v>Pebulate</v>
          </cell>
          <cell r="F2069" t="str">
            <v>1114-71-2</v>
          </cell>
        </row>
        <row r="2070">
          <cell r="E2070" t="str">
            <v>N-Nitrosodiethanolamine</v>
          </cell>
          <cell r="F2070" t="str">
            <v>1116-54-7</v>
          </cell>
        </row>
        <row r="2071">
          <cell r="E2071" t="str">
            <v>C8 as n-Octane</v>
          </cell>
          <cell r="F2071" t="str">
            <v>111-65-9</v>
          </cell>
        </row>
        <row r="2072">
          <cell r="E2072" t="str">
            <v>Nonane</v>
          </cell>
          <cell r="F2072" t="str">
            <v>111-84-2</v>
          </cell>
        </row>
        <row r="2073">
          <cell r="E2073" t="str">
            <v>Undecane</v>
          </cell>
          <cell r="F2073" t="str">
            <v>1120-21-4</v>
          </cell>
        </row>
        <row r="2074">
          <cell r="E2074" t="str">
            <v>Triethylene glycol</v>
          </cell>
          <cell r="F2074" t="str">
            <v>112-27-6</v>
          </cell>
        </row>
        <row r="2075">
          <cell r="E2075" t="str">
            <v>Triphenyl phosphate</v>
          </cell>
          <cell r="F2075" t="str">
            <v>115-86-6</v>
          </cell>
        </row>
        <row r="2076">
          <cell r="E2076" t="str">
            <v>Isosafrole</v>
          </cell>
          <cell r="F2076" t="str">
            <v>120-58-1</v>
          </cell>
        </row>
        <row r="2077">
          <cell r="E2077" t="str">
            <v>p-Cresidine</v>
          </cell>
          <cell r="F2077" t="str">
            <v>120-71-8</v>
          </cell>
        </row>
        <row r="2078">
          <cell r="E2078" t="str">
            <v>1,2,4-Trichlorobenzene</v>
          </cell>
          <cell r="F2078" t="str">
            <v>120-82-1</v>
          </cell>
        </row>
        <row r="2079">
          <cell r="E2079" t="str">
            <v>Zineb</v>
          </cell>
          <cell r="F2079" t="str">
            <v>12122-67-7</v>
          </cell>
        </row>
        <row r="2080">
          <cell r="E2080" t="str">
            <v>Triethylamine</v>
          </cell>
          <cell r="F2080" t="str">
            <v>121-44-8</v>
          </cell>
        </row>
        <row r="2081">
          <cell r="E2081" t="str">
            <v>Malathion</v>
          </cell>
          <cell r="F2081" t="str">
            <v>121-75-5</v>
          </cell>
        </row>
        <row r="2082">
          <cell r="E2082" t="str">
            <v>Hexahydro-1,3,5-trinitro-1,3,5-triazine</v>
          </cell>
          <cell r="F2082" t="str">
            <v>121-82-4</v>
          </cell>
        </row>
        <row r="2083">
          <cell r="E2083" t="str">
            <v>1,2-Diphenylhydrazine</v>
          </cell>
          <cell r="F2083" t="str">
            <v>122-66-7</v>
          </cell>
        </row>
        <row r="2084">
          <cell r="E2084" t="str">
            <v>Hydroquinone</v>
          </cell>
          <cell r="F2084" t="str">
            <v>123-31-9</v>
          </cell>
        </row>
        <row r="2085">
          <cell r="E2085" t="str">
            <v>Paraldehyde</v>
          </cell>
          <cell r="F2085" t="str">
            <v>123-63-7</v>
          </cell>
        </row>
        <row r="2086">
          <cell r="E2086" t="str">
            <v>1,4-Dioxane</v>
          </cell>
          <cell r="F2086" t="str">
            <v>123-91-1</v>
          </cell>
        </row>
        <row r="2087">
          <cell r="E2087" t="str">
            <v>Octanal</v>
          </cell>
          <cell r="F2087" t="str">
            <v>124-13-0</v>
          </cell>
        </row>
        <row r="2088">
          <cell r="E2088" t="str">
            <v>Maneb</v>
          </cell>
          <cell r="F2088" t="str">
            <v>12427-38-2</v>
          </cell>
        </row>
        <row r="2089">
          <cell r="E2089" t="str">
            <v>o,o,o-Triethyl phosphorothioate</v>
          </cell>
          <cell r="F2089" t="str">
            <v>126-68-1</v>
          </cell>
        </row>
        <row r="2090">
          <cell r="E2090" t="str">
            <v>Tris(2,3-dibromopropyl)phosphate</v>
          </cell>
          <cell r="F2090" t="str">
            <v>126-72-7</v>
          </cell>
        </row>
        <row r="2091">
          <cell r="E2091" t="str">
            <v>Tributyl phosphate</v>
          </cell>
          <cell r="F2091" t="str">
            <v>126-73-8</v>
          </cell>
        </row>
        <row r="2092">
          <cell r="E2092" t="str">
            <v>1,4-Naphthoquinone</v>
          </cell>
          <cell r="F2092" t="str">
            <v>130-15-4</v>
          </cell>
        </row>
        <row r="2093">
          <cell r="E2093" t="str">
            <v>Phenol-d6</v>
          </cell>
          <cell r="F2093" t="str">
            <v>13127-88-3</v>
          </cell>
        </row>
        <row r="2094">
          <cell r="E2094" t="str">
            <v>Phosphamidon</v>
          </cell>
          <cell r="F2094" t="str">
            <v>13171-21-6</v>
          </cell>
        </row>
        <row r="2095">
          <cell r="E2095" t="str">
            <v>Xylenes</v>
          </cell>
          <cell r="F2095" t="str">
            <v>1330-20-7</v>
          </cell>
        </row>
        <row r="2096">
          <cell r="E2096" t="str">
            <v>Hydrogen</v>
          </cell>
          <cell r="F2096" t="str">
            <v>1333-74-0</v>
          </cell>
        </row>
        <row r="2097">
          <cell r="E2097" t="str">
            <v>1-Naphthylamine</v>
          </cell>
          <cell r="F2097" t="str">
            <v>134-32-7</v>
          </cell>
        </row>
        <row r="2098">
          <cell r="E2098" t="str">
            <v>Ziram</v>
          </cell>
          <cell r="F2098" t="str">
            <v>137-30-4</v>
          </cell>
        </row>
        <row r="2099">
          <cell r="E2099" t="str">
            <v>Uranium-234</v>
          </cell>
          <cell r="F2099" t="str">
            <v>13966-29-5</v>
          </cell>
        </row>
        <row r="2100">
          <cell r="E2100" t="str">
            <v>Zinc-65</v>
          </cell>
          <cell r="F2100" t="str">
            <v>13982-39-3</v>
          </cell>
        </row>
        <row r="2101">
          <cell r="E2101" t="str">
            <v>Ethyl acetate</v>
          </cell>
          <cell r="F2101" t="str">
            <v>141-78-6</v>
          </cell>
        </row>
        <row r="2102">
          <cell r="E2102" t="str">
            <v>1,3-Dichloropropane</v>
          </cell>
          <cell r="F2102" t="str">
            <v>142-28-9</v>
          </cell>
        </row>
        <row r="2103">
          <cell r="E2103" t="str">
            <v>Lead-210</v>
          </cell>
          <cell r="F2103" t="str">
            <v>14255-04-0</v>
          </cell>
        </row>
        <row r="2104">
          <cell r="E2104" t="str">
            <v>Phosphate, Total ( as P)</v>
          </cell>
          <cell r="F2104" t="str">
            <v>14265-44-2</v>
          </cell>
        </row>
        <row r="2105">
          <cell r="E2105" t="str">
            <v>Kepone</v>
          </cell>
          <cell r="F2105" t="str">
            <v>143-50-0</v>
          </cell>
        </row>
        <row r="2106">
          <cell r="E2106" t="str">
            <v>Nitrate</v>
          </cell>
          <cell r="F2106" t="str">
            <v>14797-55-8</v>
          </cell>
        </row>
        <row r="2107">
          <cell r="E2107" t="str">
            <v>Nitrite</v>
          </cell>
          <cell r="F2107" t="str">
            <v>14797-65-0</v>
          </cell>
        </row>
        <row r="2108">
          <cell r="E2108" t="str">
            <v>Perchlorate</v>
          </cell>
          <cell r="F2108" t="str">
            <v>14797-73-0</v>
          </cell>
        </row>
        <row r="2109">
          <cell r="E2109" t="str">
            <v>Merphos</v>
          </cell>
          <cell r="F2109" t="str">
            <v>150-50-5</v>
          </cell>
        </row>
        <row r="2110">
          <cell r="E2110" t="str">
            <v>Lead-214</v>
          </cell>
          <cell r="F2110" t="str">
            <v>15067-28-4</v>
          </cell>
        </row>
        <row r="2111">
          <cell r="E2111" t="str">
            <v>Monuron</v>
          </cell>
          <cell r="F2111" t="str">
            <v>150-68-5</v>
          </cell>
        </row>
        <row r="2112">
          <cell r="E2112" t="str">
            <v>Lead-212</v>
          </cell>
          <cell r="F2112" t="str">
            <v>15092-94-1</v>
          </cell>
        </row>
        <row r="2113">
          <cell r="E2113" t="str">
            <v>Uranium-235</v>
          </cell>
          <cell r="F2113" t="str">
            <v>15117-96-1</v>
          </cell>
        </row>
        <row r="2114">
          <cell r="E2114" t="str">
            <v>Napropamide</v>
          </cell>
          <cell r="F2114" t="str">
            <v>15299-99-7</v>
          </cell>
        </row>
        <row r="2115">
          <cell r="E2115" t="str">
            <v>trans-1,2-Dichloroethene</v>
          </cell>
          <cell r="F2115" t="str">
            <v>156-60-5</v>
          </cell>
        </row>
        <row r="2116">
          <cell r="E2116" t="str">
            <v>Trifluralin</v>
          </cell>
          <cell r="F2116" t="str">
            <v>1582-09-8</v>
          </cell>
        </row>
        <row r="2117">
          <cell r="E2117" t="str">
            <v>1,4-Oxathiane</v>
          </cell>
          <cell r="F2117" t="str">
            <v>15980-15-1</v>
          </cell>
        </row>
        <row r="2118">
          <cell r="E2118" t="str">
            <v>Methyl-tert-butyl ether (MTBE)</v>
          </cell>
          <cell r="F2118" t="str">
            <v>1634-04-4</v>
          </cell>
        </row>
        <row r="2119">
          <cell r="E2119" t="str">
            <v>Methomyl</v>
          </cell>
          <cell r="F2119" t="str">
            <v>16752-77-5</v>
          </cell>
        </row>
        <row r="2120">
          <cell r="E2120" t="str">
            <v>1,2-Dichloroethane-d4</v>
          </cell>
          <cell r="F2120" t="str">
            <v>17060-07-0</v>
          </cell>
        </row>
        <row r="2121">
          <cell r="E2121" t="str">
            <v>1,4-Dioxane-d8</v>
          </cell>
          <cell r="F2121" t="str">
            <v>17647-74-4</v>
          </cell>
        </row>
        <row r="2122">
          <cell r="E2122" t="str">
            <v>Oryzalin</v>
          </cell>
          <cell r="F2122" t="str">
            <v>19044-88-3</v>
          </cell>
        </row>
        <row r="2123">
          <cell r="E2123" t="str">
            <v>Paraquat</v>
          </cell>
          <cell r="F2123" t="str">
            <v>1910-42-5</v>
          </cell>
        </row>
        <row r="2124">
          <cell r="E2124" t="str">
            <v>Indeno(1,2,3-cd)pyrene</v>
          </cell>
          <cell r="F2124" t="str">
            <v>193-39-5</v>
          </cell>
        </row>
        <row r="2125">
          <cell r="E2125" t="str">
            <v>1,2,3,7,8,9-Hexachlorodibenzo-p-dioxin</v>
          </cell>
          <cell r="F2125" t="str">
            <v>19408-74-3</v>
          </cell>
        </row>
        <row r="2126">
          <cell r="E2126" t="str">
            <v>Perylene</v>
          </cell>
          <cell r="F2126" t="str">
            <v>198-55-0</v>
          </cell>
        </row>
        <row r="2127">
          <cell r="E2127" t="str">
            <v>Methiocarb</v>
          </cell>
          <cell r="F2127" t="str">
            <v>2032-65-7</v>
          </cell>
        </row>
        <row r="2128">
          <cell r="E2128" t="str">
            <v>Toluene-d8</v>
          </cell>
          <cell r="F2128" t="str">
            <v>2037-26-5</v>
          </cell>
        </row>
        <row r="2129">
          <cell r="E2129" t="str">
            <v>Iodide (as I)</v>
          </cell>
          <cell r="F2129" t="str">
            <v>20461-54-5</v>
          </cell>
        </row>
        <row r="2130">
          <cell r="E2130" t="str">
            <v>Metribuzin</v>
          </cell>
          <cell r="F2130" t="str">
            <v>21087-64-9</v>
          </cell>
        </row>
        <row r="2131">
          <cell r="E2131" t="str">
            <v>Molinate</v>
          </cell>
          <cell r="F2131" t="str">
            <v>2212-67-1</v>
          </cell>
        </row>
        <row r="2132">
          <cell r="E2132" t="str">
            <v>Methyl mercury</v>
          </cell>
          <cell r="F2132" t="str">
            <v>22967-92-6</v>
          </cell>
        </row>
        <row r="2133">
          <cell r="E2133" t="str">
            <v>Triallate</v>
          </cell>
          <cell r="F2133" t="str">
            <v>2303-17-5</v>
          </cell>
        </row>
        <row r="2134">
          <cell r="E2134" t="str">
            <v>Phosalone</v>
          </cell>
          <cell r="F2134" t="str">
            <v>2310-17-0</v>
          </cell>
        </row>
        <row r="2135">
          <cell r="E2135" t="str">
            <v>Oxamyl</v>
          </cell>
          <cell r="F2135" t="str">
            <v>23135-22-0</v>
          </cell>
        </row>
        <row r="2136">
          <cell r="E2136" t="str">
            <v>Mirex</v>
          </cell>
          <cell r="F2136" t="str">
            <v>2385-85-5</v>
          </cell>
        </row>
        <row r="2137">
          <cell r="E2137" t="str">
            <v>Isofenphos</v>
          </cell>
          <cell r="F2137" t="str">
            <v>25311-71-1</v>
          </cell>
        </row>
        <row r="2138">
          <cell r="E2138" t="str">
            <v>Trichlorobiphenyl</v>
          </cell>
          <cell r="F2138" t="str">
            <v>25323-68-6</v>
          </cell>
        </row>
        <row r="2139">
          <cell r="E2139" t="str">
            <v>Trichloropropane</v>
          </cell>
          <cell r="F2139" t="str">
            <v>25735-29-9</v>
          </cell>
        </row>
        <row r="2140">
          <cell r="E2140" t="str">
            <v>Toluene diisocyanate</v>
          </cell>
          <cell r="F2140" t="str">
            <v>26471-62-5</v>
          </cell>
        </row>
        <row r="2141">
          <cell r="E2141" t="str">
            <v>Octahydro-1,3,5,7-tetranitro-1,3,5,7-tetrazocine</v>
          </cell>
          <cell r="F2141" t="str">
            <v>2691-41-0</v>
          </cell>
        </row>
        <row r="2142">
          <cell r="E2142" t="str">
            <v>Oxychlordane</v>
          </cell>
          <cell r="F2142" t="str">
            <v>27304-13-8</v>
          </cell>
        </row>
        <row r="2143">
          <cell r="E2143" t="str">
            <v>Norflurazon</v>
          </cell>
          <cell r="F2143" t="str">
            <v>27314-13-2</v>
          </cell>
        </row>
        <row r="2144">
          <cell r="E2144" t="str">
            <v>Monochlorobiphenyl</v>
          </cell>
          <cell r="F2144" t="str">
            <v>27323-18-8</v>
          </cell>
        </row>
        <row r="2145">
          <cell r="E2145" t="str">
            <v>Phorate</v>
          </cell>
          <cell r="F2145" t="str">
            <v>298-02-2</v>
          </cell>
        </row>
        <row r="2146">
          <cell r="E2146" t="str">
            <v>Naled</v>
          </cell>
          <cell r="F2146" t="str">
            <v>300-76-5</v>
          </cell>
        </row>
        <row r="2147">
          <cell r="E2147" t="str">
            <v>Hydrazine</v>
          </cell>
          <cell r="F2147" t="str">
            <v>302-01-2</v>
          </cell>
        </row>
        <row r="2148">
          <cell r="E2148" t="str">
            <v>Mexacarbate</v>
          </cell>
          <cell r="F2148" t="str">
            <v>315-18-4</v>
          </cell>
        </row>
        <row r="2149">
          <cell r="E2149" t="str">
            <v>Trichloronate</v>
          </cell>
          <cell r="F2149" t="str">
            <v>327-98-0</v>
          </cell>
        </row>
        <row r="2150">
          <cell r="E2150" t="str">
            <v>Linuron</v>
          </cell>
          <cell r="F2150" t="str">
            <v>330-55-2</v>
          </cell>
        </row>
        <row r="2151">
          <cell r="E2151" t="str">
            <v>1-Chlorooctadecane</v>
          </cell>
          <cell r="F2151" t="str">
            <v>3386-33-2</v>
          </cell>
        </row>
        <row r="2152">
          <cell r="E2152" t="str">
            <v>Total Hexachlorodibenzo-p-dioxins (HxCDD)</v>
          </cell>
          <cell r="F2152" t="str">
            <v>34465-46-8</v>
          </cell>
        </row>
        <row r="2153">
          <cell r="E2153" t="str">
            <v>1,2-Dichloro-1,1,2-trifluoroethane</v>
          </cell>
          <cell r="F2153" t="str">
            <v>354-23-4</v>
          </cell>
        </row>
        <row r="2154">
          <cell r="E2154" t="str">
            <v>1,2,3,4,6,7,8-Heptachlorodibenzo-p-dioxin</v>
          </cell>
          <cell r="F2154" t="str">
            <v>35822-46-9</v>
          </cell>
        </row>
        <row r="2155">
          <cell r="E2155" t="str">
            <v>Total Pentachlorodibenzo-p-dioxin (PeCDD)</v>
          </cell>
          <cell r="F2155" t="str">
            <v>36088-22-9</v>
          </cell>
        </row>
        <row r="2156">
          <cell r="E2156" t="str">
            <v>Total Heptachlorodibenzo-p-dioxins (HpCDD)</v>
          </cell>
          <cell r="F2156" t="str">
            <v>37871-00-4</v>
          </cell>
        </row>
        <row r="2157">
          <cell r="E2157" t="str">
            <v>1,4 Dichlorobenzene-d4</v>
          </cell>
          <cell r="F2157" t="str">
            <v>3855-82-1</v>
          </cell>
        </row>
        <row r="2158">
          <cell r="E2158" t="str">
            <v>Octachlorodibenzofuran</v>
          </cell>
          <cell r="F2158" t="str">
            <v>39001-02-0</v>
          </cell>
        </row>
        <row r="2159">
          <cell r="E2159" t="str">
            <v>1,2,3,4,7,8-Hexachlorodibenzo-p-dioxin</v>
          </cell>
          <cell r="F2159" t="str">
            <v>39227-28-6</v>
          </cell>
        </row>
        <row r="2160">
          <cell r="E2160" t="str">
            <v>trans-Nonachlor</v>
          </cell>
          <cell r="F2160" t="str">
            <v>39765-80-5</v>
          </cell>
        </row>
        <row r="2161">
          <cell r="E2161" t="str">
            <v>1,2,3,7,8-Pentachlorodibenzo-p-dioxin</v>
          </cell>
          <cell r="F2161" t="str">
            <v>40321-76-4</v>
          </cell>
        </row>
        <row r="2162">
          <cell r="E2162" t="str">
            <v>trans-Isosafrole</v>
          </cell>
          <cell r="F2162" t="str">
            <v>4043-71-4</v>
          </cell>
        </row>
        <row r="2163">
          <cell r="E2163" t="str">
            <v>Penoxalin (Pendimethalin)</v>
          </cell>
          <cell r="F2163" t="str">
            <v>40487-42-1</v>
          </cell>
        </row>
        <row r="2164">
          <cell r="E2164" t="str">
            <v>Nitrobenzene-d5</v>
          </cell>
          <cell r="F2164" t="str">
            <v>4165-60-0</v>
          </cell>
        </row>
        <row r="2165">
          <cell r="E2165" t="str">
            <v>Phenol-d5</v>
          </cell>
          <cell r="F2165" t="str">
            <v>4165-62-2</v>
          </cell>
        </row>
        <row r="2166">
          <cell r="E2166" t="str">
            <v>Isodrin</v>
          </cell>
          <cell r="F2166" t="str">
            <v>465-73-6</v>
          </cell>
        </row>
        <row r="2167">
          <cell r="E2167" t="str">
            <v>Phenobarbital</v>
          </cell>
          <cell r="F2167" t="str">
            <v>50-06-6</v>
          </cell>
        </row>
        <row r="2168">
          <cell r="E2168" t="str">
            <v>1,4-Dithiane</v>
          </cell>
          <cell r="F2168" t="str">
            <v>505-29-3</v>
          </cell>
        </row>
        <row r="2169">
          <cell r="E2169" t="str">
            <v>Total Petroleum Hydrocarbons (TPH) as JP-4</v>
          </cell>
          <cell r="F2169" t="str">
            <v>50815-00-4</v>
          </cell>
        </row>
        <row r="2170">
          <cell r="E2170" t="str">
            <v>Metolachlor</v>
          </cell>
          <cell r="F2170" t="str">
            <v>51218-45-2</v>
          </cell>
        </row>
        <row r="2171">
          <cell r="E2171" t="str">
            <v>Hexazinone</v>
          </cell>
          <cell r="F2171" t="str">
            <v>51235-04-2</v>
          </cell>
        </row>
        <row r="2172">
          <cell r="E2172" t="str">
            <v>Trimethyl phosphate</v>
          </cell>
          <cell r="F2172" t="str">
            <v>512-56-1</v>
          </cell>
        </row>
        <row r="2173">
          <cell r="E2173" t="str">
            <v>1,1-Dichloropropanone</v>
          </cell>
          <cell r="F2173" t="str">
            <v>513-88-2</v>
          </cell>
        </row>
        <row r="2174">
          <cell r="E2174" t="str">
            <v>Ethyl carbamate</v>
          </cell>
          <cell r="F2174" t="str">
            <v>51-79-6</v>
          </cell>
        </row>
        <row r="2175">
          <cell r="E2175" t="str">
            <v>Permethrin</v>
          </cell>
          <cell r="F2175" t="str">
            <v>52645-53-1</v>
          </cell>
        </row>
        <row r="2176">
          <cell r="E2176" t="str">
            <v>1,2,3-Trimethylbenzene</v>
          </cell>
          <cell r="F2176" t="str">
            <v>526-73-8</v>
          </cell>
        </row>
        <row r="2177">
          <cell r="E2177" t="str">
            <v>Trichlorfon</v>
          </cell>
          <cell r="F2177" t="str">
            <v>52-68-6</v>
          </cell>
        </row>
        <row r="2178">
          <cell r="E2178" t="str">
            <v>1,2-Dinitrobenzene</v>
          </cell>
          <cell r="F2178" t="str">
            <v>528-29-0</v>
          </cell>
        </row>
        <row r="2179">
          <cell r="E2179" t="str">
            <v>Nonachlorobiphenyl</v>
          </cell>
          <cell r="F2179" t="str">
            <v>53742-07-7</v>
          </cell>
        </row>
        <row r="2180">
          <cell r="E2180" t="str">
            <v>Isobutylbenzene</v>
          </cell>
          <cell r="F2180" t="str">
            <v>538-93-2</v>
          </cell>
        </row>
        <row r="2181">
          <cell r="E2181" t="str">
            <v>1,4-Difluorobenzene</v>
          </cell>
          <cell r="F2181" t="str">
            <v>540-36-3</v>
          </cell>
        </row>
        <row r="2182">
          <cell r="E2182" t="str">
            <v>1,2-Dichloroethene, Total</v>
          </cell>
          <cell r="F2182" t="str">
            <v>540-59-0</v>
          </cell>
        </row>
        <row r="2183">
          <cell r="E2183" t="str">
            <v>1,3-Dichlorobenzene</v>
          </cell>
          <cell r="F2183" t="str">
            <v>541-73-1</v>
          </cell>
        </row>
        <row r="2184">
          <cell r="E2184" t="str">
            <v>1,3-Dichloropropene (Total)</v>
          </cell>
          <cell r="F2184" t="str">
            <v>542-75-6</v>
          </cell>
        </row>
        <row r="2185">
          <cell r="E2185" t="str">
            <v>1-Chlorohexane</v>
          </cell>
          <cell r="F2185" t="str">
            <v>544-10-5</v>
          </cell>
        </row>
        <row r="2186">
          <cell r="E2186" t="str">
            <v>n-Nitrosodiethylamine</v>
          </cell>
          <cell r="F2186" t="str">
            <v>55-18-5</v>
          </cell>
        </row>
        <row r="2187">
          <cell r="E2187" t="str">
            <v>Neburon</v>
          </cell>
          <cell r="F2187" t="str">
            <v>555-37-3</v>
          </cell>
        </row>
        <row r="2188">
          <cell r="E2188" t="str">
            <v>Nitroglycerin</v>
          </cell>
          <cell r="F2188" t="str">
            <v>55-63-0</v>
          </cell>
        </row>
        <row r="2189">
          <cell r="E2189" t="str">
            <v>1,2,3,4,7,8,9-Heptachlorodibenzofuran</v>
          </cell>
          <cell r="F2189" t="str">
            <v>55673-89-7</v>
          </cell>
        </row>
        <row r="2190">
          <cell r="E2190" t="str">
            <v>Nitroguanidine</v>
          </cell>
          <cell r="F2190" t="str">
            <v>556-88-7</v>
          </cell>
        </row>
        <row r="2191">
          <cell r="E2191" t="str">
            <v>Octachlorobiphenyl</v>
          </cell>
          <cell r="F2191" t="str">
            <v>55722-26-4</v>
          </cell>
        </row>
        <row r="2192">
          <cell r="E2192" t="str">
            <v>1,1-Dichloropropene</v>
          </cell>
          <cell r="F2192" t="str">
            <v>563-58-6</v>
          </cell>
        </row>
        <row r="2193">
          <cell r="E2193" t="str">
            <v>Octadecanoic acid</v>
          </cell>
          <cell r="F2193" t="str">
            <v>57-11-4</v>
          </cell>
        </row>
        <row r="2194">
          <cell r="E2194" t="str">
            <v>1,2,3,7,8-Pentachlorodibenzofuran</v>
          </cell>
          <cell r="F2194" t="str">
            <v>57117-41-6</v>
          </cell>
        </row>
        <row r="2195">
          <cell r="E2195" t="str">
            <v>1,2,3,6,7,8-Hexachlorodibenzofuran</v>
          </cell>
          <cell r="F2195" t="str">
            <v>57117-44-9</v>
          </cell>
        </row>
        <row r="2196">
          <cell r="E2196" t="str">
            <v>1,1-Dimethylhydrazine</v>
          </cell>
          <cell r="F2196" t="str">
            <v>57-14-7</v>
          </cell>
        </row>
        <row r="2197">
          <cell r="E2197" t="str">
            <v>1,2,3,6,7,8-Hexachlorodibenzo-p-dioxin</v>
          </cell>
          <cell r="F2197" t="str">
            <v>57653-85-7</v>
          </cell>
        </row>
        <row r="2198">
          <cell r="E2198" t="str">
            <v>1-Acetyl-2-thiourea</v>
          </cell>
          <cell r="F2198" t="str">
            <v>591-08-2</v>
          </cell>
        </row>
        <row r="2199">
          <cell r="E2199" t="str">
            <v>Octadecane</v>
          </cell>
          <cell r="F2199" t="str">
            <v>593-45-3</v>
          </cell>
        </row>
        <row r="2200">
          <cell r="E2200" t="str">
            <v>n-Nitrosomorpholine</v>
          </cell>
          <cell r="F2200" t="str">
            <v>59-89-2</v>
          </cell>
        </row>
        <row r="2201">
          <cell r="E2201" t="str">
            <v>p-Dimethylaminoazobenzene</v>
          </cell>
          <cell r="F2201" t="str">
            <v>60-11-7</v>
          </cell>
        </row>
        <row r="2202">
          <cell r="E2202" t="str">
            <v>Pentachlorobenzene</v>
          </cell>
          <cell r="F2202" t="str">
            <v>608-93-5</v>
          </cell>
        </row>
        <row r="2203">
          <cell r="E2203" t="str">
            <v>Methylene Blue Active Substances</v>
          </cell>
          <cell r="F2203" t="str">
            <v>61-73-4</v>
          </cell>
        </row>
        <row r="2204">
          <cell r="E2204" t="str">
            <v>n-Nitrosodi-n-propylamine</v>
          </cell>
          <cell r="F2204" t="str">
            <v>621-64-7</v>
          </cell>
        </row>
        <row r="2205">
          <cell r="E2205" t="str">
            <v>Methyl disulfide</v>
          </cell>
          <cell r="F2205" t="str">
            <v>624-92-0</v>
          </cell>
        </row>
        <row r="2206">
          <cell r="E2206" t="str">
            <v>Ethyl methanesulfonate</v>
          </cell>
          <cell r="F2206" t="str">
            <v>62-50-0</v>
          </cell>
        </row>
        <row r="2207">
          <cell r="E2207" t="str">
            <v>n-Nitrosodimethylamine</v>
          </cell>
          <cell r="F2207" t="str">
            <v>62-75-9</v>
          </cell>
        </row>
        <row r="2208">
          <cell r="E2208" t="str">
            <v>Tridecane</v>
          </cell>
          <cell r="F2208" t="str">
            <v>629-50-5</v>
          </cell>
        </row>
        <row r="2209">
          <cell r="E2209" t="str">
            <v>C14 as n-Tetradecane</v>
          </cell>
          <cell r="F2209" t="str">
            <v>629-59-4</v>
          </cell>
        </row>
        <row r="2210">
          <cell r="E2210" t="str">
            <v>Nonadecane</v>
          </cell>
          <cell r="F2210" t="str">
            <v>629-92-5</v>
          </cell>
        </row>
        <row r="2211">
          <cell r="E2211" t="str">
            <v>Pentacosane</v>
          </cell>
          <cell r="F2211" t="str">
            <v>629-99-2</v>
          </cell>
        </row>
        <row r="2212">
          <cell r="E2212" t="str">
            <v>Octacosane</v>
          </cell>
          <cell r="F2212" t="str">
            <v>630-02-4</v>
          </cell>
        </row>
        <row r="2213">
          <cell r="E2213" t="str">
            <v>Nonacosane</v>
          </cell>
          <cell r="F2213" t="str">
            <v>630-03-5</v>
          </cell>
        </row>
        <row r="2214">
          <cell r="E2214" t="str">
            <v>Tritriacontane</v>
          </cell>
          <cell r="F2214" t="str">
            <v>630-05-7</v>
          </cell>
        </row>
        <row r="2215">
          <cell r="E2215" t="str">
            <v>Pentatriacontane</v>
          </cell>
          <cell r="F2215" t="str">
            <v>630-07-9</v>
          </cell>
        </row>
        <row r="2216">
          <cell r="E2216" t="str">
            <v>1,1,1,2-Tetrachloroethane</v>
          </cell>
          <cell r="F2216" t="str">
            <v>630-20-6</v>
          </cell>
        </row>
        <row r="2217">
          <cell r="E2217" t="str">
            <v>1,2,3,5-Tetrachlorobenzene</v>
          </cell>
          <cell r="F2217" t="str">
            <v>634-90-2</v>
          </cell>
        </row>
        <row r="2218">
          <cell r="E2218" t="str">
            <v>Ethyl tert-butyl ether (ETBE)</v>
          </cell>
          <cell r="F2218" t="str">
            <v>637-92-3</v>
          </cell>
        </row>
        <row r="2219">
          <cell r="E2219" t="str">
            <v>n-Triacontane</v>
          </cell>
          <cell r="F2219" t="str">
            <v>638-68-6</v>
          </cell>
        </row>
        <row r="2220">
          <cell r="E2220" t="str">
            <v>Mineral Spirits</v>
          </cell>
          <cell r="F2220" t="str">
            <v>64475-85-0</v>
          </cell>
        </row>
        <row r="2221">
          <cell r="E2221" t="str">
            <v>Isohexanoic Acid</v>
          </cell>
          <cell r="F2221" t="str">
            <v>646-07-1</v>
          </cell>
        </row>
        <row r="2222">
          <cell r="E2222" t="str">
            <v>Methanol (MeOH)</v>
          </cell>
          <cell r="F2222" t="str">
            <v>67-56-1</v>
          </cell>
        </row>
        <row r="2223">
          <cell r="E2223" t="str">
            <v>1,2,3,4,6,7,8-Heptachlorodibenzofuran</v>
          </cell>
          <cell r="F2223" t="str">
            <v>67562-39-4</v>
          </cell>
        </row>
        <row r="2224">
          <cell r="E2224" t="str">
            <v>Fuel Oil No. 6 (BUNKER C)</v>
          </cell>
          <cell r="F2224" t="str">
            <v>68553-00-4</v>
          </cell>
        </row>
        <row r="2225">
          <cell r="E2225" t="str">
            <v>Tributyltin</v>
          </cell>
          <cell r="F2225" t="str">
            <v>688-73-3</v>
          </cell>
        </row>
        <row r="2226">
          <cell r="E2226" t="str">
            <v>Monocrotophos</v>
          </cell>
          <cell r="F2226" t="str">
            <v>6923-22-4</v>
          </cell>
        </row>
        <row r="2227">
          <cell r="E2227" t="str">
            <v>1,2,3,4,7,8-Hexachlorodibenzofuran</v>
          </cell>
          <cell r="F2227" t="str">
            <v>70648-26-9</v>
          </cell>
        </row>
        <row r="2228">
          <cell r="E2228" t="str">
            <v>1-Pentanol</v>
          </cell>
          <cell r="F2228" t="str">
            <v>71-41-0</v>
          </cell>
        </row>
        <row r="2229">
          <cell r="E2229" t="str">
            <v>1,1,1-Trichloroethane</v>
          </cell>
          <cell r="F2229" t="str">
            <v>71-55-6</v>
          </cell>
        </row>
        <row r="2230">
          <cell r="E2230" t="str">
            <v>Mestranol</v>
          </cell>
          <cell r="F2230" t="str">
            <v>72-33-3</v>
          </cell>
        </row>
        <row r="2231">
          <cell r="E2231" t="str">
            <v>Methoxychlor</v>
          </cell>
          <cell r="F2231" t="str">
            <v>72-43-5</v>
          </cell>
        </row>
        <row r="2232">
          <cell r="E2232" t="str">
            <v>Perthane</v>
          </cell>
          <cell r="F2232" t="str">
            <v>72-56-0</v>
          </cell>
        </row>
        <row r="2233">
          <cell r="E2233" t="str">
            <v>1,2,3,7,8,9-Hexachlorodibenzofuran</v>
          </cell>
          <cell r="F2233" t="str">
            <v>72918-21-9</v>
          </cell>
        </row>
        <row r="2234">
          <cell r="E2234" t="str">
            <v>Iron</v>
          </cell>
          <cell r="F2234" t="str">
            <v>7439-89-6</v>
          </cell>
        </row>
        <row r="2235">
          <cell r="E2235" t="str">
            <v>Lead</v>
          </cell>
          <cell r="F2235" t="str">
            <v>7439-92-1</v>
          </cell>
        </row>
        <row r="2236">
          <cell r="E2236" t="str">
            <v>Lithium</v>
          </cell>
          <cell r="F2236" t="str">
            <v>7439-93-2</v>
          </cell>
        </row>
        <row r="2237">
          <cell r="E2237" t="str">
            <v>Magnesium</v>
          </cell>
          <cell r="F2237" t="str">
            <v>7439-95-4</v>
          </cell>
        </row>
        <row r="2238">
          <cell r="E2238" t="str">
            <v>Manganese</v>
          </cell>
          <cell r="F2238" t="str">
            <v>7439-96-5</v>
          </cell>
        </row>
        <row r="2239">
          <cell r="E2239" t="str">
            <v>Mercury</v>
          </cell>
          <cell r="F2239" t="str">
            <v>7439-97-6</v>
          </cell>
        </row>
        <row r="2240">
          <cell r="E2240" t="str">
            <v>Molybdenum</v>
          </cell>
          <cell r="F2240" t="str">
            <v>7439-98-7</v>
          </cell>
        </row>
        <row r="2241">
          <cell r="E2241" t="str">
            <v>Nickel</v>
          </cell>
          <cell r="F2241" t="str">
            <v>7440-02-0</v>
          </cell>
        </row>
        <row r="2242">
          <cell r="E2242" t="str">
            <v>Titanium</v>
          </cell>
          <cell r="F2242" t="str">
            <v>7440-32-6</v>
          </cell>
        </row>
        <row r="2243">
          <cell r="E2243" t="str">
            <v>Uranium-238</v>
          </cell>
          <cell r="F2243" t="str">
            <v>7440-61-1</v>
          </cell>
        </row>
        <row r="2244">
          <cell r="E2244" t="str">
            <v>Vanadium</v>
          </cell>
          <cell r="F2244" t="str">
            <v>7440-62-2</v>
          </cell>
        </row>
        <row r="2245">
          <cell r="E2245" t="str">
            <v>Yttrium</v>
          </cell>
          <cell r="F2245" t="str">
            <v>7440-65-5</v>
          </cell>
        </row>
        <row r="2246">
          <cell r="E2246" t="str">
            <v>Zinc</v>
          </cell>
          <cell r="F2246" t="str">
            <v>7440-66-6</v>
          </cell>
        </row>
        <row r="2247">
          <cell r="E2247" t="str">
            <v>Zirconium</v>
          </cell>
          <cell r="F2247" t="str">
            <v>7440-67-7</v>
          </cell>
        </row>
        <row r="2248">
          <cell r="E2248" t="str">
            <v>Methane</v>
          </cell>
          <cell r="F2248" t="str">
            <v>74-82-8</v>
          </cell>
        </row>
        <row r="2249">
          <cell r="E2249" t="str">
            <v>Methyl mercaptan</v>
          </cell>
          <cell r="F2249" t="str">
            <v>74-93-1</v>
          </cell>
        </row>
        <row r="2250">
          <cell r="E2250" t="str">
            <v>Vinyl chloride</v>
          </cell>
          <cell r="F2250" t="str">
            <v>75-01-4</v>
          </cell>
        </row>
        <row r="2251">
          <cell r="E2251" t="str">
            <v>Monoethylamine</v>
          </cell>
          <cell r="F2251" t="str">
            <v>75-04-7</v>
          </cell>
        </row>
        <row r="2252">
          <cell r="E2252" t="str">
            <v>Ethyl mercaptan</v>
          </cell>
          <cell r="F2252" t="str">
            <v>75-08-1</v>
          </cell>
        </row>
        <row r="2253">
          <cell r="E2253" t="str">
            <v>Methylene chloride</v>
          </cell>
          <cell r="F2253" t="str">
            <v>75-09-2</v>
          </cell>
        </row>
        <row r="2254">
          <cell r="E2254" t="str">
            <v>Ethylene oxide</v>
          </cell>
          <cell r="F2254" t="str">
            <v>75-21-8</v>
          </cell>
        </row>
        <row r="2255">
          <cell r="E2255" t="str">
            <v>Isobutane</v>
          </cell>
          <cell r="F2255" t="str">
            <v>75-28-5</v>
          </cell>
        </row>
        <row r="2256">
          <cell r="E2256" t="str">
            <v>1,1-Dichloroethane</v>
          </cell>
          <cell r="F2256" t="str">
            <v>75-34-3</v>
          </cell>
        </row>
        <row r="2257">
          <cell r="E2257" t="str">
            <v>1,1-Dichloroethene</v>
          </cell>
          <cell r="F2257" t="str">
            <v>75-35-4</v>
          </cell>
        </row>
        <row r="2258">
          <cell r="E2258" t="str">
            <v>1,1-Difluoroethane</v>
          </cell>
          <cell r="F2258" t="str">
            <v>75-37-6</v>
          </cell>
        </row>
        <row r="2259">
          <cell r="E2259" t="str">
            <v>Trimethylamine</v>
          </cell>
          <cell r="F2259" t="str">
            <v>75-50-3</v>
          </cell>
        </row>
        <row r="2260">
          <cell r="E2260" t="str">
            <v>Trichlorofluoromethane</v>
          </cell>
          <cell r="F2260" t="str">
            <v>75-69-4</v>
          </cell>
        </row>
        <row r="2261">
          <cell r="E2261" t="str">
            <v>Pentachloroethane</v>
          </cell>
          <cell r="F2261" t="str">
            <v>76-01-7</v>
          </cell>
        </row>
        <row r="2262">
          <cell r="E2262" t="str">
            <v>1,1,2-Trichloro-1,2,2-trifluoroethane</v>
          </cell>
          <cell r="F2262" t="str">
            <v>76-13-1</v>
          </cell>
        </row>
        <row r="2263">
          <cell r="E2263" t="str">
            <v>1,2-Dichloro-1,1,2,2-tetrafluoroethane</v>
          </cell>
          <cell r="F2263" t="str">
            <v>76-14-2</v>
          </cell>
        </row>
        <row r="2264">
          <cell r="E2264" t="str">
            <v>1,4-Dichloro-2-butene, Total</v>
          </cell>
          <cell r="F2264" t="str">
            <v>764-41-0</v>
          </cell>
        </row>
        <row r="2265">
          <cell r="E2265" t="str">
            <v>Hydrochloric Acid (Hydrogen Chloride)</v>
          </cell>
          <cell r="F2265" t="str">
            <v>7647-01-0</v>
          </cell>
        </row>
        <row r="2266">
          <cell r="E2266" t="str">
            <v>Hydrofluoric acid</v>
          </cell>
          <cell r="F2266" t="str">
            <v>7664-39-3</v>
          </cell>
        </row>
        <row r="2267">
          <cell r="E2267" t="str">
            <v>Nitric Acid</v>
          </cell>
          <cell r="F2267" t="str">
            <v>7697-37-2</v>
          </cell>
        </row>
        <row r="2268">
          <cell r="E2268" t="str">
            <v>Phosphorus, Total (as P)</v>
          </cell>
          <cell r="F2268" t="str">
            <v>7723-14-0</v>
          </cell>
        </row>
        <row r="2269">
          <cell r="E2269" t="str">
            <v>Nitrogen</v>
          </cell>
          <cell r="F2269" t="str">
            <v>7727-37-9</v>
          </cell>
        </row>
        <row r="2270">
          <cell r="E2270" t="str">
            <v>Oxygen</v>
          </cell>
          <cell r="F2270" t="str">
            <v>7782-44-7</v>
          </cell>
        </row>
        <row r="2271">
          <cell r="E2271" t="str">
            <v>Mevinphos</v>
          </cell>
          <cell r="F2271" t="str">
            <v>7786-34-7</v>
          </cell>
        </row>
        <row r="2272">
          <cell r="E2272" t="str">
            <v>Isophorone</v>
          </cell>
          <cell r="F2272" t="str">
            <v>78-59-1</v>
          </cell>
        </row>
        <row r="2273">
          <cell r="E2273" t="str">
            <v>1,2-Dibromopropane</v>
          </cell>
          <cell r="F2273" t="str">
            <v>78-75-1</v>
          </cell>
        </row>
        <row r="2274">
          <cell r="E2274" t="str">
            <v>Isobutanol</v>
          </cell>
          <cell r="F2274" t="str">
            <v>78-83-1</v>
          </cell>
        </row>
        <row r="2275">
          <cell r="E2275" t="str">
            <v>1,2-Dichloropropane</v>
          </cell>
          <cell r="F2275" t="str">
            <v>78-87-5</v>
          </cell>
        </row>
        <row r="2276">
          <cell r="E2276" t="str">
            <v>1,1,2-Trichloroethane</v>
          </cell>
          <cell r="F2276" t="str">
            <v>79-00-5</v>
          </cell>
        </row>
        <row r="2277">
          <cell r="E2277" t="str">
            <v>Trichloroethene (TCE)</v>
          </cell>
          <cell r="F2277" t="str">
            <v>79-01-6</v>
          </cell>
        </row>
        <row r="2278">
          <cell r="E2278" t="str">
            <v>1,1,2,2-Tetrachloroethane</v>
          </cell>
          <cell r="F2278" t="str">
            <v>79-34-5</v>
          </cell>
        </row>
        <row r="2279">
          <cell r="E2279" t="str">
            <v>Toxaphene</v>
          </cell>
          <cell r="F2279" t="str">
            <v>8001-35-2</v>
          </cell>
        </row>
        <row r="2280">
          <cell r="E2280" t="str">
            <v>Total Petroleum Hydrocarbons (TPH) as JP-5</v>
          </cell>
          <cell r="F2280" t="str">
            <v>8008-20-6</v>
          </cell>
        </row>
        <row r="2281">
          <cell r="E2281" t="str">
            <v>Naphtha distillate</v>
          </cell>
          <cell r="F2281" t="str">
            <v>8030-30-6</v>
          </cell>
        </row>
        <row r="2282">
          <cell r="E2282" t="str">
            <v>alpha-Pinene</v>
          </cell>
          <cell r="F2282" t="str">
            <v>80-56-8</v>
          </cell>
        </row>
        <row r="2283">
          <cell r="E2283" t="str">
            <v>Methylmethacrylate</v>
          </cell>
          <cell r="F2283" t="str">
            <v>80-62-6</v>
          </cell>
        </row>
        <row r="2284">
          <cell r="E2284" t="str">
            <v>Pentachloronitrobenzene</v>
          </cell>
          <cell r="F2284" t="str">
            <v>82-68-8</v>
          </cell>
        </row>
        <row r="2285">
          <cell r="E2285" t="str">
            <v>1-Methylphenanthrene</v>
          </cell>
          <cell r="F2285" t="str">
            <v>832-69-9</v>
          </cell>
        </row>
        <row r="2286">
          <cell r="E2286" t="str">
            <v>o-Terphenyl</v>
          </cell>
          <cell r="F2286" t="str">
            <v>84-15-1</v>
          </cell>
        </row>
        <row r="2287">
          <cell r="E2287" t="str">
            <v>Phthalic anhydride</v>
          </cell>
          <cell r="F2287" t="str">
            <v>85-44-9</v>
          </cell>
        </row>
        <row r="2288">
          <cell r="E2288" t="str">
            <v>n-Nitrosodiphenylamine</v>
          </cell>
          <cell r="F2288" t="str">
            <v>86-30-6</v>
          </cell>
        </row>
        <row r="2289">
          <cell r="E2289" t="str">
            <v>1,2,3-Trichlorobenzene</v>
          </cell>
          <cell r="F2289" t="str">
            <v>87-61-6</v>
          </cell>
        </row>
        <row r="2290">
          <cell r="E2290" t="str">
            <v>Pentachlorophenol</v>
          </cell>
          <cell r="F2290" t="str">
            <v>87-86-5</v>
          </cell>
        </row>
        <row r="2291">
          <cell r="E2291" t="str">
            <v>Picric Acid</v>
          </cell>
          <cell r="F2291" t="str">
            <v>88-89-1</v>
          </cell>
        </row>
        <row r="2292">
          <cell r="E2292" t="str">
            <v>o-Anisidine</v>
          </cell>
          <cell r="F2292" t="str">
            <v>90-04-0</v>
          </cell>
        </row>
        <row r="2293">
          <cell r="E2293" t="str">
            <v>1-Methylnaphthalene</v>
          </cell>
          <cell r="F2293" t="str">
            <v>90-12-0</v>
          </cell>
        </row>
        <row r="2294">
          <cell r="E2294" t="str">
            <v>1-Chloronaphthalene</v>
          </cell>
          <cell r="F2294" t="str">
            <v>90-13-1</v>
          </cell>
        </row>
        <row r="2295">
          <cell r="E2295" t="str">
            <v>Naphthalene</v>
          </cell>
          <cell r="F2295" t="str">
            <v>91-20-3</v>
          </cell>
        </row>
        <row r="2296">
          <cell r="E2296" t="str">
            <v>Methapyrilene</v>
          </cell>
          <cell r="F2296" t="str">
            <v>91-80-5</v>
          </cell>
        </row>
        <row r="2297">
          <cell r="E2297" t="str">
            <v>m-Terphenyl</v>
          </cell>
          <cell r="F2297" t="str">
            <v>92-06-8</v>
          </cell>
        </row>
        <row r="2298">
          <cell r="E2298" t="str">
            <v>n-Nitroso-di-n-butylamine</v>
          </cell>
          <cell r="F2298" t="str">
            <v>924-16-3</v>
          </cell>
        </row>
        <row r="2299">
          <cell r="E2299" t="str">
            <v>n-Nitrosopyrrolidine</v>
          </cell>
          <cell r="F2299" t="str">
            <v>930-55-2</v>
          </cell>
        </row>
        <row r="2300">
          <cell r="E2300" t="str">
            <v>MCPP (2-(2-methyl-4-chlorophenoxy) propanoic acid)</v>
          </cell>
          <cell r="F2300" t="str">
            <v>93-65-2</v>
          </cell>
        </row>
        <row r="2301">
          <cell r="E2301" t="str">
            <v>Jet Fuel</v>
          </cell>
          <cell r="F2301" t="str">
            <v>94114-58-6</v>
          </cell>
        </row>
        <row r="2302">
          <cell r="E2302" t="str">
            <v>MCPA (2-Methyl-4-chlorophenoxy acetic acid)</v>
          </cell>
          <cell r="F2302" t="str">
            <v>94-74-6</v>
          </cell>
        </row>
        <row r="2303">
          <cell r="E2303" t="str">
            <v>Indene</v>
          </cell>
          <cell r="F2303" t="str">
            <v>95-13-6</v>
          </cell>
        </row>
        <row r="2304">
          <cell r="E2304" t="str">
            <v>o-Xylene</v>
          </cell>
          <cell r="F2304" t="str">
            <v>95-47-6</v>
          </cell>
        </row>
        <row r="2305">
          <cell r="E2305" t="str">
            <v>1,2-Dichlorobenzene</v>
          </cell>
          <cell r="F2305" t="str">
            <v>95-50-1</v>
          </cell>
        </row>
        <row r="2306">
          <cell r="E2306" t="str">
            <v>2-Chloroaniline</v>
          </cell>
          <cell r="F2306" t="str">
            <v>95-51-2</v>
          </cell>
        </row>
        <row r="2307">
          <cell r="E2307" t="str">
            <v>o-Toluidine</v>
          </cell>
          <cell r="F2307" t="str">
            <v>95-53-4</v>
          </cell>
        </row>
        <row r="2308">
          <cell r="E2308" t="str">
            <v>1,2,4-Trimethylbenzene</v>
          </cell>
          <cell r="F2308" t="str">
            <v>95-63-6</v>
          </cell>
        </row>
        <row r="2309">
          <cell r="E2309" t="str">
            <v>1,2,4,5-Tetramethylbenzene</v>
          </cell>
          <cell r="F2309" t="str">
            <v>95-93-2</v>
          </cell>
        </row>
        <row r="2310">
          <cell r="E2310" t="str">
            <v>1,2,4,5-Tetrachlorobenzene</v>
          </cell>
          <cell r="F2310" t="str">
            <v>95-94-3</v>
          </cell>
        </row>
        <row r="2311">
          <cell r="E2311" t="str">
            <v>1,2-Dibromo-3-chloropropane</v>
          </cell>
          <cell r="F2311" t="str">
            <v>96-12-8</v>
          </cell>
        </row>
        <row r="2312">
          <cell r="E2312" t="str">
            <v>1,2,3-Trichloropropane</v>
          </cell>
          <cell r="F2312" t="str">
            <v>96-18-4</v>
          </cell>
        </row>
        <row r="2313">
          <cell r="E2313" t="str">
            <v>1,2,3-Trichloropropene</v>
          </cell>
          <cell r="F2313" t="str">
            <v>96-19-5</v>
          </cell>
        </row>
        <row r="2314">
          <cell r="E2314" t="str">
            <v>1,3-Dichloro-2-propanol</v>
          </cell>
          <cell r="F2314" t="str">
            <v>96-23-1</v>
          </cell>
        </row>
        <row r="2315">
          <cell r="E2315" t="str">
            <v>Methyl acrylate</v>
          </cell>
          <cell r="F2315" t="str">
            <v>96-33-3</v>
          </cell>
        </row>
        <row r="2316">
          <cell r="E2316" t="str">
            <v>Ethylene thiourea (ETU)</v>
          </cell>
          <cell r="F2316" t="str">
            <v>96-45-7</v>
          </cell>
        </row>
        <row r="2317">
          <cell r="E2317" t="str">
            <v>Ethyl methacrylate</v>
          </cell>
          <cell r="F2317" t="str">
            <v>97-63-2</v>
          </cell>
        </row>
        <row r="2318">
          <cell r="E2318" t="str">
            <v>Trifluorotoluene</v>
          </cell>
          <cell r="F2318" t="str">
            <v>98-08-8</v>
          </cell>
        </row>
        <row r="2319">
          <cell r="E2319" t="str">
            <v>Isopropylbenzene</v>
          </cell>
          <cell r="F2319" t="str">
            <v>98-82-8</v>
          </cell>
        </row>
        <row r="2320">
          <cell r="E2320" t="str">
            <v>Nitrobenzene</v>
          </cell>
          <cell r="F2320" t="str">
            <v>98-95-3</v>
          </cell>
        </row>
        <row r="2321">
          <cell r="E2321" t="str">
            <v>1,3,5-Trinitrobenzene</v>
          </cell>
          <cell r="F2321" t="str">
            <v>99-35-4</v>
          </cell>
        </row>
        <row r="2322">
          <cell r="E2322" t="str">
            <v>1,3-Dinitrobenzene</v>
          </cell>
          <cell r="F2322" t="str">
            <v>99-65-0</v>
          </cell>
        </row>
        <row r="2323">
          <cell r="E2323" t="str">
            <v>C10-C12 Aliphatics</v>
          </cell>
          <cell r="F2323" t="str">
            <v>AL_C10C12</v>
          </cell>
        </row>
        <row r="2324">
          <cell r="E2324" t="str">
            <v>C10-C24 Aliphatics</v>
          </cell>
          <cell r="F2324" t="str">
            <v>AL_C10C24</v>
          </cell>
        </row>
        <row r="2325">
          <cell r="E2325" t="str">
            <v>C10-C25 Aliphatics</v>
          </cell>
          <cell r="F2325" t="str">
            <v>AL_C10C25</v>
          </cell>
        </row>
        <row r="2326">
          <cell r="E2326" t="str">
            <v>C16-C21 Aliphatics</v>
          </cell>
          <cell r="F2326" t="str">
            <v>AL_C16C21</v>
          </cell>
        </row>
        <row r="2327">
          <cell r="E2327" t="str">
            <v>C21-C34 Aliphatics</v>
          </cell>
          <cell r="F2327" t="str">
            <v>AL_C21C34</v>
          </cell>
        </row>
        <row r="2328">
          <cell r="E2328" t="str">
            <v>C5-C6 Aliphatics</v>
          </cell>
          <cell r="F2328" t="str">
            <v>AL_C5C6</v>
          </cell>
        </row>
        <row r="2329">
          <cell r="E2329" t="str">
            <v>C5-C8 Aliphatics (Adjusted baseline)</v>
          </cell>
          <cell r="F2329" t="str">
            <v>AL_C5C8</v>
          </cell>
        </row>
        <row r="2330">
          <cell r="E2330" t="str">
            <v>C6-C10 Aliphatics</v>
          </cell>
          <cell r="F2330" t="str">
            <v>AL_C6C10</v>
          </cell>
        </row>
        <row r="2331">
          <cell r="E2331" t="str">
            <v>C6-C8 Aliphatics</v>
          </cell>
          <cell r="F2331" t="str">
            <v>AL_C6C8</v>
          </cell>
        </row>
        <row r="2332">
          <cell r="E2332" t="str">
            <v>C8-C10 Aliphatics</v>
          </cell>
          <cell r="F2332" t="str">
            <v>AL_C8C10</v>
          </cell>
        </row>
        <row r="2333">
          <cell r="E2333" t="str">
            <v>C10-C12 Aromatics</v>
          </cell>
          <cell r="F2333" t="str">
            <v>AR_C10C12</v>
          </cell>
        </row>
        <row r="2334">
          <cell r="E2334" t="str">
            <v>C10-C24 Aromatics</v>
          </cell>
          <cell r="F2334" t="str">
            <v>AR_C10C24</v>
          </cell>
        </row>
        <row r="2335">
          <cell r="E2335" t="str">
            <v>C10-C25 Aromatics</v>
          </cell>
          <cell r="F2335" t="str">
            <v>AR_C10C25</v>
          </cell>
        </row>
        <row r="2336">
          <cell r="E2336" t="str">
            <v>C12-C13 Aromatics</v>
          </cell>
          <cell r="F2336" t="str">
            <v>AR_C12C13</v>
          </cell>
        </row>
        <row r="2337">
          <cell r="E2337" t="str">
            <v>C12-C16 Aromatics</v>
          </cell>
          <cell r="F2337" t="str">
            <v>AR_C12C16</v>
          </cell>
        </row>
        <row r="2338">
          <cell r="E2338" t="str">
            <v>C16-C21 Aromatics</v>
          </cell>
          <cell r="F2338" t="str">
            <v>AR_C16C21</v>
          </cell>
        </row>
        <row r="2339">
          <cell r="E2339" t="str">
            <v>C21-C34 Aromatics</v>
          </cell>
          <cell r="F2339" t="str">
            <v>AR_C21C34</v>
          </cell>
        </row>
        <row r="2340">
          <cell r="E2340" t="str">
            <v>C25-C36 Aromatics</v>
          </cell>
          <cell r="F2340" t="str">
            <v>AR_C25C36</v>
          </cell>
        </row>
        <row r="2341">
          <cell r="E2341" t="str">
            <v>C6-C10 Aromatics</v>
          </cell>
          <cell r="F2341" t="str">
            <v>AR_C6C10</v>
          </cell>
        </row>
        <row r="2342">
          <cell r="E2342" t="str">
            <v>C8-C10 Aromatics</v>
          </cell>
          <cell r="F2342" t="str">
            <v>AR_C8C10</v>
          </cell>
        </row>
        <row r="2343">
          <cell r="E2343" t="str">
            <v>C9-C10 Aromatics</v>
          </cell>
          <cell r="F2343" t="str">
            <v>AR_C9C10</v>
          </cell>
        </row>
        <row r="2344">
          <cell r="E2344" t="str">
            <v>Conductivity</v>
          </cell>
          <cell r="F2344" t="str">
            <v>HC</v>
          </cell>
        </row>
        <row r="2345">
          <cell r="E2345" t="str">
            <v>Ignitability</v>
          </cell>
          <cell r="F2345" t="str">
            <v>IGNITE</v>
          </cell>
        </row>
        <row r="2346">
          <cell r="E2346" t="str">
            <v>Percent Moisture</v>
          </cell>
          <cell r="F2346" t="str">
            <v>MC</v>
          </cell>
        </row>
        <row r="2347">
          <cell r="E2347" t="str">
            <v>Xylene, Isomers m &amp; p</v>
          </cell>
          <cell r="F2347" t="str">
            <v>MP-XYL</v>
          </cell>
        </row>
        <row r="2348">
          <cell r="E2348" t="str">
            <v>Nitrogen, Nitrate (as N)</v>
          </cell>
          <cell r="F2348" t="str">
            <v>NITRATE-N</v>
          </cell>
        </row>
        <row r="2349">
          <cell r="E2349" t="str">
            <v>Nitrogen, Nitrite</v>
          </cell>
          <cell r="F2349" t="str">
            <v>NITRITE-N</v>
          </cell>
        </row>
        <row r="2350">
          <cell r="E2350" t="str">
            <v>Nitrogen, Nitrate-Nitrite</v>
          </cell>
          <cell r="F2350" t="str">
            <v>NO3NO2N</v>
          </cell>
        </row>
        <row r="2351">
          <cell r="E2351" t="str">
            <v>Oil and Grease</v>
          </cell>
          <cell r="F2351" t="str">
            <v>O&amp;G</v>
          </cell>
        </row>
        <row r="2352">
          <cell r="E2352" t="str">
            <v>Organic Lead</v>
          </cell>
          <cell r="F2352" t="str">
            <v>ORG PB</v>
          </cell>
        </row>
        <row r="2353">
          <cell r="E2353" t="str">
            <v>Oxidation-Reduction Potential</v>
          </cell>
          <cell r="F2353" t="str">
            <v>ORP</v>
          </cell>
        </row>
        <row r="2354">
          <cell r="E2354" t="str">
            <v>Total Lipids</v>
          </cell>
          <cell r="F2354" t="str">
            <v>PERCENT LIPIDS</v>
          </cell>
        </row>
        <row r="2355">
          <cell r="E2355" t="str">
            <v>Solids, Percent</v>
          </cell>
          <cell r="F2355" t="str">
            <v>PERCENT SOLIDS</v>
          </cell>
        </row>
        <row r="2356">
          <cell r="E2356" t="str">
            <v>pH</v>
          </cell>
          <cell r="F2356" t="str">
            <v>pH</v>
          </cell>
        </row>
        <row r="2357">
          <cell r="E2357" t="str">
            <v>Total Petroleum Hydrocarbons (TPH) (C10-C28)</v>
          </cell>
          <cell r="F2357" t="str">
            <v>PHCC10C28</v>
          </cell>
        </row>
        <row r="2358">
          <cell r="E2358" t="str">
            <v>Total Petroleum Hydrocarbons (TPH) (C11-C12)</v>
          </cell>
          <cell r="F2358" t="str">
            <v>PHCC11C12</v>
          </cell>
        </row>
        <row r="2359">
          <cell r="E2359" t="str">
            <v>Total Petroleum Hydrocarbons (TPH) (C13-C14)</v>
          </cell>
          <cell r="F2359" t="str">
            <v>PHCC13C14</v>
          </cell>
        </row>
        <row r="2360">
          <cell r="E2360" t="str">
            <v>Total Petroleum Hydrocarbons (TPH) (C15-C16)</v>
          </cell>
          <cell r="F2360" t="str">
            <v>PHCC15C16</v>
          </cell>
        </row>
        <row r="2361">
          <cell r="E2361" t="str">
            <v>Total Petroleum Hydrocarbons (TPH) (C17-C18)</v>
          </cell>
          <cell r="F2361" t="str">
            <v>PHCC17C18</v>
          </cell>
        </row>
        <row r="2362">
          <cell r="E2362" t="str">
            <v>Total Petroleum Hydrocarbons (TPH) (C19-C20)</v>
          </cell>
          <cell r="F2362" t="str">
            <v>PHCC19C20</v>
          </cell>
        </row>
        <row r="2363">
          <cell r="E2363" t="str">
            <v>Total Petroleum Hydrocarbons (TPH) (C21-C22)</v>
          </cell>
          <cell r="F2363" t="str">
            <v>PHCC21C22</v>
          </cell>
        </row>
        <row r="2364">
          <cell r="E2364" t="str">
            <v>Total Petroleum Hydrocarbons (TPH) (C23-C24)</v>
          </cell>
          <cell r="F2364" t="str">
            <v>PHCC23C24</v>
          </cell>
        </row>
        <row r="2365">
          <cell r="E2365" t="str">
            <v>Total Petroleum Hydrocarbons (TPH) (C25-C28)</v>
          </cell>
          <cell r="F2365" t="str">
            <v>PHCC25C28</v>
          </cell>
        </row>
        <row r="2366">
          <cell r="E2366" t="str">
            <v>Total Petroleum Hydrocarbons (TPH) (C28-C40)</v>
          </cell>
          <cell r="F2366" t="str">
            <v>PHCC28C40</v>
          </cell>
        </row>
        <row r="2367">
          <cell r="E2367" t="str">
            <v>Total Petroleum Hydrocarbons (TPH) (C29-C32)</v>
          </cell>
          <cell r="F2367" t="str">
            <v>PHCC29C32</v>
          </cell>
        </row>
        <row r="2368">
          <cell r="E2368" t="str">
            <v>Total Petroleum Hydrocarbons (TPH) (C33-C36)</v>
          </cell>
          <cell r="F2368" t="str">
            <v>PHCC33C36</v>
          </cell>
        </row>
        <row r="2369">
          <cell r="E2369" t="str">
            <v>Total Petroleum Hydrocarbons (TPH) (C37-C40)</v>
          </cell>
          <cell r="F2369" t="str">
            <v>PHCC37C40</v>
          </cell>
        </row>
        <row r="2370">
          <cell r="E2370" t="str">
            <v>Total Petroleum Hydrocarbons (TPH) (C41-C44)</v>
          </cell>
          <cell r="F2370" t="str">
            <v>PHCC41C44</v>
          </cell>
        </row>
        <row r="2371">
          <cell r="E2371" t="str">
            <v>Total Petroleum Hydrocarbons (TPH) (C6)</v>
          </cell>
          <cell r="F2371" t="str">
            <v>PHCC6</v>
          </cell>
        </row>
        <row r="2372">
          <cell r="E2372" t="str">
            <v>Total Petroleum Hydrocarbons (TPH) (C6-C10)</v>
          </cell>
          <cell r="F2372" t="str">
            <v>PHCC6C10</v>
          </cell>
        </row>
        <row r="2373">
          <cell r="E2373" t="str">
            <v>Total Petroleum Hydrocarbons (TPH) (C6-C40)</v>
          </cell>
          <cell r="F2373" t="str">
            <v>PHCC6C40</v>
          </cell>
        </row>
        <row r="2374">
          <cell r="E2374" t="str">
            <v>Total Petroleum Hydrocarbons (TPH) (C6-C44)</v>
          </cell>
          <cell r="F2374" t="str">
            <v>PHCC6C44</v>
          </cell>
        </row>
        <row r="2375">
          <cell r="E2375" t="str">
            <v>Total Petroleum Hydrocarbons (TPH) (C7)</v>
          </cell>
          <cell r="F2375" t="str">
            <v>PHCC7</v>
          </cell>
        </row>
        <row r="2376">
          <cell r="E2376" t="str">
            <v>Total Petroleum Hydrocarbons (TPH) (C8)</v>
          </cell>
          <cell r="F2376" t="str">
            <v>PHCC8</v>
          </cell>
        </row>
        <row r="2377">
          <cell r="E2377" t="str">
            <v>Total Petroleum Hydrocarbons (TPH) (C9-C10)</v>
          </cell>
          <cell r="F2377" t="str">
            <v>PHCC9C10</v>
          </cell>
        </row>
        <row r="2378">
          <cell r="E2378" t="str">
            <v>Total Petroleum Hydrocarbons (TPH) as Diesel Fuel (TPHD)</v>
          </cell>
          <cell r="F2378" t="str">
            <v>PHCD</v>
          </cell>
        </row>
        <row r="2379">
          <cell r="E2379" t="str">
            <v>Total Petroleum Hydrocarbons (TPH) as Gasoline (TPHG)</v>
          </cell>
          <cell r="F2379" t="str">
            <v>PHCG</v>
          </cell>
        </row>
        <row r="2380">
          <cell r="E2380" t="str">
            <v>Total Petroleum Hydrocarbons (TPH) as Motor Oil</v>
          </cell>
          <cell r="F2380" t="str">
            <v>PHCMO</v>
          </cell>
        </row>
        <row r="2381">
          <cell r="E2381" t="str">
            <v>Coliform, Total</v>
          </cell>
          <cell r="F2381" t="str">
            <v>TCOLI</v>
          </cell>
        </row>
        <row r="2382">
          <cell r="E2382" t="str">
            <v>Total Dissolved Solids</v>
          </cell>
          <cell r="F2382" t="str">
            <v>TDS</v>
          </cell>
        </row>
        <row r="2383">
          <cell r="E2383" t="str">
            <v>Total Trihalomethanes</v>
          </cell>
          <cell r="F2383" t="str">
            <v>THM</v>
          </cell>
        </row>
        <row r="2384">
          <cell r="E2384" t="str">
            <v>Nitrogen, Kjeldahl, Total</v>
          </cell>
          <cell r="F2384" t="str">
            <v>TKN</v>
          </cell>
        </row>
        <row r="2385">
          <cell r="E2385" t="str">
            <v>Total Organic Carbon  (TOC)</v>
          </cell>
          <cell r="F2385" t="str">
            <v>TOC</v>
          </cell>
        </row>
        <row r="2386">
          <cell r="E2386" t="str">
            <v>Benzene, Toluene, Ethylbenzene, and Xylenes</v>
          </cell>
          <cell r="F2386" t="str">
            <v>TOTBTEX</v>
          </cell>
        </row>
        <row r="2387">
          <cell r="E2387" t="str">
            <v>Total Polychlorinatedbiphenyls</v>
          </cell>
          <cell r="F2387" t="str">
            <v>TOTPCB</v>
          </cell>
        </row>
        <row r="2388">
          <cell r="E2388" t="str">
            <v>Total Organic Halides (TOX)</v>
          </cell>
          <cell r="F2388" t="str">
            <v>TOX</v>
          </cell>
        </row>
        <row r="2389">
          <cell r="E2389" t="str">
            <v>Total Petroleum Hydrocarbons (TPH) as Aviation Gas</v>
          </cell>
          <cell r="F2389" t="str">
            <v>TPH-AVG</v>
          </cell>
        </row>
        <row r="2390">
          <cell r="E2390" t="str">
            <v>Diesel Range Organics (C12-C24)</v>
          </cell>
          <cell r="F2390" t="str">
            <v>TPH-DRO</v>
          </cell>
        </row>
        <row r="2391">
          <cell r="E2391" t="str">
            <v>Diesel Range Organics, Aliphatic</v>
          </cell>
          <cell r="F2391" t="str">
            <v>TPH-DRO AL</v>
          </cell>
        </row>
        <row r="2392">
          <cell r="E2392" t="str">
            <v>Diesel Range Organics, Aromatic</v>
          </cell>
          <cell r="F2392" t="str">
            <v>TPH-DRO AR</v>
          </cell>
        </row>
        <row r="2393">
          <cell r="E2393" t="str">
            <v>Total Petroleum Hydrocarbons (TPH) as Fuel Oil</v>
          </cell>
          <cell r="F2393" t="str">
            <v>TPH-FUEL</v>
          </cell>
        </row>
        <row r="2394">
          <cell r="E2394" t="str">
            <v>Gasoline and Light Range Organics (C4-C12)</v>
          </cell>
          <cell r="F2394" t="str">
            <v>TPH-GRO</v>
          </cell>
        </row>
        <row r="2395">
          <cell r="E2395" t="str">
            <v>Gasoline Range Organics, Aliphatic</v>
          </cell>
          <cell r="F2395" t="str">
            <v>TPH-GRO AL</v>
          </cell>
        </row>
        <row r="2396">
          <cell r="E2396" t="str">
            <v>Gasoline Range Organics, Aromatic</v>
          </cell>
          <cell r="F2396" t="str">
            <v>TPH-GRO AR</v>
          </cell>
        </row>
        <row r="2397">
          <cell r="E2397" t="str">
            <v>Total Petroleum Hydrocarbons (TPH) as Kerosene</v>
          </cell>
          <cell r="F2397" t="str">
            <v>TPH-KERO</v>
          </cell>
        </row>
        <row r="2398">
          <cell r="E2398" t="str">
            <v>Total Petroleum Hydrocarbons (TPH) as Lube Oil</v>
          </cell>
          <cell r="F2398" t="str">
            <v>TPH-LUBE</v>
          </cell>
        </row>
        <row r="2399">
          <cell r="E2399" t="str">
            <v>Total Petroleum Hydrocarbons (TPH) as Mineral Oil</v>
          </cell>
          <cell r="F2399" t="str">
            <v>TPH-MIN</v>
          </cell>
        </row>
        <row r="2400">
          <cell r="E2400" t="str">
            <v>Total Petroleum Hydrocarbons (TPH) as Stoddard Solvent</v>
          </cell>
          <cell r="F2400" t="str">
            <v>TPH-STOD</v>
          </cell>
        </row>
        <row r="2401">
          <cell r="E2401" t="str">
            <v>Total Volatile Petroleum Hydrocarbons (TVPH)</v>
          </cell>
          <cell r="F2401" t="str">
            <v>TPH-VOL</v>
          </cell>
        </row>
        <row r="2402">
          <cell r="E2402" t="str">
            <v>Petroleum Hydrocarbons, Total Recoverable</v>
          </cell>
          <cell r="F2402" t="str">
            <v>TRPH</v>
          </cell>
        </row>
        <row r="2403">
          <cell r="E2403" t="str">
            <v>Total Solids</v>
          </cell>
          <cell r="F2403" t="str">
            <v>TSOLIDS</v>
          </cell>
        </row>
        <row r="2404">
          <cell r="E2404" t="str">
            <v>Total Suspended Solids</v>
          </cell>
          <cell r="F2404" t="str">
            <v>TSS</v>
          </cell>
        </row>
        <row r="2405">
          <cell r="E2405" t="str">
            <v>Turbidity</v>
          </cell>
          <cell r="F2405" t="str">
            <v>TURB</v>
          </cell>
        </row>
        <row r="2406">
          <cell r="E2406" t="str">
            <v>1,2-Propylene glycol dinitrate</v>
          </cell>
          <cell r="F2406" t="str">
            <v>6423-43-4</v>
          </cell>
        </row>
        <row r="2407">
          <cell r="E2407" t="str">
            <v>2,2-Dichloro-1,1,1-trifluoroethane</v>
          </cell>
          <cell r="F2407" t="str">
            <v>306-83-2</v>
          </cell>
        </row>
        <row r="2408">
          <cell r="E2408" t="str">
            <v>2,4,5-TP (Silvex)</v>
          </cell>
          <cell r="F2408" t="str">
            <v>93-72-1</v>
          </cell>
        </row>
        <row r="2409">
          <cell r="E2409" t="str">
            <v>bis(2-Chloroisopropyl)ether</v>
          </cell>
          <cell r="F2409" t="str">
            <v>108-60-1</v>
          </cell>
        </row>
        <row r="2410">
          <cell r="E2410" t="str">
            <v>Dibenzofuran</v>
          </cell>
          <cell r="F2410" t="str">
            <v>132-64-9</v>
          </cell>
        </row>
        <row r="2411">
          <cell r="E2411" t="str">
            <v>Dibenzothiophene</v>
          </cell>
          <cell r="F2411" t="str">
            <v>132-65-0</v>
          </cell>
        </row>
        <row r="2412">
          <cell r="E2412" t="str">
            <v>Dibromoacetonitrile</v>
          </cell>
          <cell r="F2412" t="str">
            <v>124-48-1</v>
          </cell>
        </row>
        <row r="2413">
          <cell r="E2413" t="str">
            <v>Dibromodichloromethane</v>
          </cell>
          <cell r="F2413" t="str">
            <v>594-18-3</v>
          </cell>
        </row>
        <row r="2414">
          <cell r="E2414" t="str">
            <v>Dibromodifluoromethane</v>
          </cell>
          <cell r="F2414" t="str">
            <v>75-61-6</v>
          </cell>
        </row>
        <row r="2415">
          <cell r="E2415" t="str">
            <v>Dibromofluoromethane</v>
          </cell>
          <cell r="F2415" t="str">
            <v>1868-53-7</v>
          </cell>
        </row>
        <row r="2416">
          <cell r="E2416" t="str">
            <v>Dibromomethane</v>
          </cell>
          <cell r="F2416" t="str">
            <v>74-95-3</v>
          </cell>
        </row>
        <row r="2417">
          <cell r="E2417" t="str">
            <v>Dibutylchlorendate</v>
          </cell>
          <cell r="F2417" t="str">
            <v>1770-80-5</v>
          </cell>
        </row>
        <row r="2418">
          <cell r="E2418" t="str">
            <v>Dibutyltin</v>
          </cell>
          <cell r="F2418" t="str">
            <v>1002-53-5</v>
          </cell>
        </row>
        <row r="2419">
          <cell r="E2419" t="str">
            <v>Dicamba</v>
          </cell>
          <cell r="F2419" t="str">
            <v>1918-00-9</v>
          </cell>
        </row>
        <row r="2420">
          <cell r="E2420" t="str">
            <v>Dichlone</v>
          </cell>
          <cell r="F2420" t="str">
            <v>117-80-6</v>
          </cell>
        </row>
        <row r="2421">
          <cell r="E2421" t="str">
            <v>Dichloroacetic acid</v>
          </cell>
          <cell r="F2421" t="str">
            <v>79-43-6</v>
          </cell>
        </row>
        <row r="2422">
          <cell r="E2422" t="str">
            <v>Dichlorobiphenyl</v>
          </cell>
          <cell r="F2422" t="str">
            <v>25512-42-9</v>
          </cell>
        </row>
        <row r="2423">
          <cell r="E2423" t="str">
            <v>Dichlorodifluoromethane</v>
          </cell>
          <cell r="F2423" t="str">
            <v>75-71-8</v>
          </cell>
        </row>
        <row r="2424">
          <cell r="E2424" t="str">
            <v>Dichlorofluoromethane</v>
          </cell>
          <cell r="F2424" t="str">
            <v>75-43-4</v>
          </cell>
        </row>
        <row r="2425">
          <cell r="E2425" t="str">
            <v>Dichlorovos</v>
          </cell>
          <cell r="F2425" t="str">
            <v>62-73-7</v>
          </cell>
        </row>
        <row r="2426">
          <cell r="E2426" t="str">
            <v>Dichlorprop</v>
          </cell>
          <cell r="F2426" t="str">
            <v>120-36-5</v>
          </cell>
        </row>
        <row r="2427">
          <cell r="E2427" t="str">
            <v>Dicofol</v>
          </cell>
          <cell r="F2427" t="str">
            <v>115-32-2</v>
          </cell>
        </row>
        <row r="2428">
          <cell r="E2428" t="str">
            <v>Dieldrin</v>
          </cell>
          <cell r="F2428" t="str">
            <v>60-57-1</v>
          </cell>
        </row>
        <row r="2429">
          <cell r="E2429" t="str">
            <v>Diquat</v>
          </cell>
          <cell r="F2429" t="str">
            <v>85-00-7</v>
          </cell>
        </row>
        <row r="2430">
          <cell r="E2430" t="str">
            <v>Dissolved Organic Carbon</v>
          </cell>
          <cell r="F2430" t="str">
            <v>DOC</v>
          </cell>
        </row>
        <row r="2431">
          <cell r="E2431" t="str">
            <v>Disulfoton</v>
          </cell>
          <cell r="F2431" t="str">
            <v>298-04-4</v>
          </cell>
        </row>
        <row r="2432">
          <cell r="E2432" t="str">
            <v>Diuron</v>
          </cell>
          <cell r="F2432" t="str">
            <v>330-54-1</v>
          </cell>
        </row>
        <row r="2433">
          <cell r="E2433" t="str">
            <v>Docosane</v>
          </cell>
          <cell r="F2433" t="str">
            <v>629-97-0</v>
          </cell>
        </row>
        <row r="2434">
          <cell r="E2434" t="str">
            <v>Docosanoic acid</v>
          </cell>
          <cell r="F2434" t="str">
            <v>112-85-6</v>
          </cell>
        </row>
        <row r="2435">
          <cell r="E2435" t="str">
            <v>Dodecane</v>
          </cell>
          <cell r="F2435" t="str">
            <v>112-40-3</v>
          </cell>
        </row>
        <row r="2436">
          <cell r="E2436" t="str">
            <v>Dodecanoic acid</v>
          </cell>
          <cell r="F2436" t="str">
            <v>143-07-7</v>
          </cell>
        </row>
        <row r="2437">
          <cell r="E2437" t="str">
            <v>Dysprosium</v>
          </cell>
          <cell r="F2437" t="str">
            <v>7429-91-6</v>
          </cell>
        </row>
        <row r="2438">
          <cell r="E2438" t="str">
            <v>Eicosane</v>
          </cell>
          <cell r="F2438" t="str">
            <v>112-95-8</v>
          </cell>
        </row>
        <row r="2439">
          <cell r="E2439" t="str">
            <v>Endosulfan I</v>
          </cell>
          <cell r="F2439" t="str">
            <v>959-98-8</v>
          </cell>
        </row>
        <row r="2440">
          <cell r="E2440" t="str">
            <v>Endosulfan II</v>
          </cell>
          <cell r="F2440" t="str">
            <v>33213-65-9</v>
          </cell>
        </row>
        <row r="2441">
          <cell r="E2441" t="str">
            <v>Endosulfan sulfate</v>
          </cell>
          <cell r="F2441" t="str">
            <v>1031-07-8</v>
          </cell>
        </row>
        <row r="2442">
          <cell r="E2442" t="str">
            <v>Endosulfan, Total</v>
          </cell>
          <cell r="F2442" t="str">
            <v>115-29-7</v>
          </cell>
        </row>
        <row r="2443">
          <cell r="E2443" t="str">
            <v>Endothal</v>
          </cell>
          <cell r="F2443" t="str">
            <v>145-73-3</v>
          </cell>
        </row>
        <row r="2444">
          <cell r="E2444" t="str">
            <v>Endrin</v>
          </cell>
          <cell r="F2444" t="str">
            <v>72-20-8</v>
          </cell>
        </row>
        <row r="2445">
          <cell r="E2445" t="str">
            <v>Endrin aldehyde</v>
          </cell>
          <cell r="F2445" t="str">
            <v>7421-93-4</v>
          </cell>
        </row>
        <row r="2446">
          <cell r="E2446" t="str">
            <v>Endrin ketone</v>
          </cell>
          <cell r="F2446" t="str">
            <v>53494-70-5</v>
          </cell>
        </row>
        <row r="2447">
          <cell r="E2447" t="str">
            <v>Epichlorhydrin</v>
          </cell>
          <cell r="F2447" t="str">
            <v>106-89-8</v>
          </cell>
        </row>
        <row r="2448">
          <cell r="E2448" t="str">
            <v>EPN (O-Ethyl phenyl (p-nitrophenyl) thiophosphonate)</v>
          </cell>
          <cell r="F2448" t="str">
            <v>2104-64-5</v>
          </cell>
        </row>
        <row r="2449">
          <cell r="E2449" t="str">
            <v>Ethane</v>
          </cell>
          <cell r="F2449" t="str">
            <v>74-84-0</v>
          </cell>
        </row>
        <row r="2450">
          <cell r="E2450" t="str">
            <v>Ethanol (EtOH)</v>
          </cell>
          <cell r="F2450" t="str">
            <v>64-17-5</v>
          </cell>
        </row>
        <row r="2451">
          <cell r="E2451" t="str">
            <v>Ethion</v>
          </cell>
          <cell r="F2451" t="str">
            <v>563-12-2</v>
          </cell>
        </row>
        <row r="2452">
          <cell r="E2452" t="str">
            <v>Ethoprop</v>
          </cell>
          <cell r="F2452" t="str">
            <v>13194-48-4</v>
          </cell>
        </row>
        <row r="2453">
          <cell r="E2453" t="str">
            <v>Europium-152</v>
          </cell>
          <cell r="F2453" t="str">
            <v>14683-23-9</v>
          </cell>
        </row>
        <row r="2454">
          <cell r="E2454" t="str">
            <v>Europium-154</v>
          </cell>
          <cell r="F2454" t="str">
            <v>15585-10-1</v>
          </cell>
        </row>
        <row r="2455">
          <cell r="E2455" t="str">
            <v>Europium-155</v>
          </cell>
          <cell r="F2455" t="str">
            <v>14391-16-3</v>
          </cell>
        </row>
        <row r="2456">
          <cell r="E2456" t="str">
            <v>Famphur</v>
          </cell>
          <cell r="F2456" t="str">
            <v>52-85-7</v>
          </cell>
        </row>
        <row r="2457">
          <cell r="E2457" t="str">
            <v>Fecal Coliform</v>
          </cell>
          <cell r="F2457" t="str">
            <v>FCOLI</v>
          </cell>
        </row>
        <row r="2458">
          <cell r="E2458" t="str">
            <v>Fensulfothion</v>
          </cell>
          <cell r="F2458" t="str">
            <v>115-90-2</v>
          </cell>
        </row>
        <row r="2459">
          <cell r="E2459" t="str">
            <v>Fenthion</v>
          </cell>
          <cell r="F2459" t="str">
            <v>55-38-9</v>
          </cell>
        </row>
        <row r="2460">
          <cell r="E2460" t="str">
            <v>Fenuron</v>
          </cell>
          <cell r="F2460" t="str">
            <v>101-42-8</v>
          </cell>
        </row>
        <row r="2461">
          <cell r="E2461" t="str">
            <v>Flash Point</v>
          </cell>
          <cell r="F2461" t="str">
            <v>FLASHPT</v>
          </cell>
        </row>
        <row r="2462">
          <cell r="E2462" t="str">
            <v>Fluchloralin</v>
          </cell>
          <cell r="F2462" t="str">
            <v>33245-39-5</v>
          </cell>
        </row>
        <row r="2463">
          <cell r="E2463" t="str">
            <v>Fluometuron</v>
          </cell>
          <cell r="F2463" t="str">
            <v>2164-17-2</v>
          </cell>
        </row>
        <row r="2464">
          <cell r="E2464" t="str">
            <v>Fluoranthene</v>
          </cell>
          <cell r="F2464" t="str">
            <v>206-44-0</v>
          </cell>
        </row>
        <row r="2465">
          <cell r="E2465" t="str">
            <v>Fluorene</v>
          </cell>
          <cell r="F2465" t="str">
            <v>86-73-7</v>
          </cell>
        </row>
        <row r="2466">
          <cell r="E2466" t="str">
            <v>Fluoride</v>
          </cell>
          <cell r="F2466" t="str">
            <v>16984-48-8</v>
          </cell>
        </row>
        <row r="2467">
          <cell r="E2467" t="str">
            <v>Fluorine (soluble fluoride)</v>
          </cell>
          <cell r="F2467" t="str">
            <v>7782-41-4</v>
          </cell>
        </row>
        <row r="2468">
          <cell r="E2468" t="str">
            <v>Fluoroacetic acid</v>
          </cell>
          <cell r="F2468" t="str">
            <v>144-49-0</v>
          </cell>
        </row>
        <row r="2469">
          <cell r="E2469" t="str">
            <v>Fluorobenzene</v>
          </cell>
          <cell r="F2469" t="str">
            <v>462-06-6</v>
          </cell>
        </row>
        <row r="2470">
          <cell r="E2470" t="str">
            <v>Folpet</v>
          </cell>
          <cell r="F2470" t="str">
            <v>133-07-3</v>
          </cell>
        </row>
        <row r="2471">
          <cell r="E2471" t="str">
            <v>Formaldehyde</v>
          </cell>
          <cell r="F2471" t="str">
            <v>50-00-0</v>
          </cell>
        </row>
        <row r="2472">
          <cell r="E2472" t="str">
            <v>Formic acid</v>
          </cell>
          <cell r="F2472" t="str">
            <v>64-18-6</v>
          </cell>
        </row>
        <row r="2473">
          <cell r="E2473" t="str">
            <v>Furfural</v>
          </cell>
          <cell r="F2473" t="str">
            <v>98-01-1</v>
          </cell>
        </row>
        <row r="2474">
          <cell r="E2474" t="str">
            <v>Gadolinium-153</v>
          </cell>
          <cell r="F2474" t="str">
            <v>7440-54-2</v>
          </cell>
        </row>
        <row r="2475">
          <cell r="E2475" t="str">
            <v>gamma-BHC (Lindane)</v>
          </cell>
          <cell r="F2475" t="str">
            <v>58-89-9</v>
          </cell>
        </row>
        <row r="2476">
          <cell r="E2476" t="str">
            <v>gamma-Chlordane</v>
          </cell>
          <cell r="F2476" t="str">
            <v>5566-34-7</v>
          </cell>
        </row>
        <row r="2477">
          <cell r="E2477" t="str">
            <v>Gold</v>
          </cell>
          <cell r="F2477" t="str">
            <v>7440-57-5</v>
          </cell>
        </row>
        <row r="2478">
          <cell r="E2478" t="str">
            <v>Hardness as CaCO3</v>
          </cell>
          <cell r="F2478" t="str">
            <v>HARDNESS</v>
          </cell>
        </row>
        <row r="2479">
          <cell r="E2479" t="str">
            <v>Helium</v>
          </cell>
          <cell r="F2479" t="str">
            <v>7440-59-7</v>
          </cell>
        </row>
        <row r="2480">
          <cell r="E2480" t="str">
            <v>Heneicosane</v>
          </cell>
          <cell r="F2480" t="str">
            <v>629-94-7</v>
          </cell>
        </row>
        <row r="2481">
          <cell r="E2481" t="str">
            <v>Heptachlor</v>
          </cell>
          <cell r="F2481" t="str">
            <v>76-44-8</v>
          </cell>
        </row>
        <row r="2482">
          <cell r="E2482" t="str">
            <v>Heptachlor epoxide</v>
          </cell>
          <cell r="F2482" t="str">
            <v>1024-57-3</v>
          </cell>
        </row>
        <row r="2483">
          <cell r="E2483" t="str">
            <v>Heptachlorobiphenyl</v>
          </cell>
          <cell r="F2483" t="str">
            <v>28655-71-2</v>
          </cell>
        </row>
        <row r="2484">
          <cell r="E2484" t="str">
            <v>Heptacosane</v>
          </cell>
          <cell r="F2484" t="str">
            <v>593-49-7</v>
          </cell>
        </row>
        <row r="2485">
          <cell r="E2485" t="str">
            <v>Heptadecane</v>
          </cell>
          <cell r="F2485" t="str">
            <v>629-78-7</v>
          </cell>
        </row>
        <row r="2486">
          <cell r="E2486" t="str">
            <v>Heptanal</v>
          </cell>
          <cell r="F2486" t="str">
            <v>111-71-7</v>
          </cell>
        </row>
        <row r="2487">
          <cell r="E2487" t="str">
            <v>Heptane</v>
          </cell>
          <cell r="F2487" t="str">
            <v>142-82-5</v>
          </cell>
        </row>
        <row r="2488">
          <cell r="E2488" t="str">
            <v>Hexabromobenzene</v>
          </cell>
          <cell r="F2488" t="str">
            <v>87-82-1</v>
          </cell>
        </row>
        <row r="2489">
          <cell r="E2489" t="str">
            <v>Hexachlorobenzene</v>
          </cell>
          <cell r="F2489" t="str">
            <v>118-74-1</v>
          </cell>
        </row>
        <row r="2490">
          <cell r="E2490" t="str">
            <v>Hexachlorobiphenyl</v>
          </cell>
          <cell r="F2490" t="str">
            <v>26601-64-9</v>
          </cell>
        </row>
        <row r="2491">
          <cell r="E2491" t="str">
            <v>Hexachlorobutadiene</v>
          </cell>
          <cell r="F2491" t="str">
            <v>87-68-3</v>
          </cell>
        </row>
        <row r="2492">
          <cell r="E2492" t="str">
            <v>Hexachlorocyclopentadiene</v>
          </cell>
          <cell r="F2492" t="str">
            <v>77-47-4</v>
          </cell>
        </row>
        <row r="2493">
          <cell r="E2493" t="str">
            <v>Hexachloroethane</v>
          </cell>
          <cell r="F2493" t="str">
            <v>67-72-1</v>
          </cell>
        </row>
        <row r="2494">
          <cell r="E2494" t="str">
            <v>Hexachlorophene</v>
          </cell>
          <cell r="F2494" t="str">
            <v>70-30-4</v>
          </cell>
        </row>
        <row r="2495">
          <cell r="E2495" t="str">
            <v>Hexachloropropene</v>
          </cell>
          <cell r="F2495" t="str">
            <v>1888-71-7</v>
          </cell>
        </row>
        <row r="2496">
          <cell r="E2496" t="str">
            <v>Hexacosane</v>
          </cell>
          <cell r="F2496" t="str">
            <v>630-01-3</v>
          </cell>
        </row>
        <row r="2497">
          <cell r="E2497" t="str">
            <v>Hexadecane</v>
          </cell>
          <cell r="F2497" t="str">
            <v>544-76-3</v>
          </cell>
        </row>
        <row r="2498">
          <cell r="E2498" t="str">
            <v>Hexadecanoic acid</v>
          </cell>
          <cell r="F2498" t="str">
            <v>57-10-3</v>
          </cell>
        </row>
        <row r="2499">
          <cell r="E2499" t="str">
            <v>Hexanal</v>
          </cell>
          <cell r="F2499" t="str">
            <v>66-25-1</v>
          </cell>
        </row>
        <row r="2500">
          <cell r="E2500" t="str">
            <v>Hexane</v>
          </cell>
          <cell r="F2500" t="str">
            <v>110-54-3</v>
          </cell>
        </row>
        <row r="2501">
          <cell r="E2501" t="str">
            <v>Hexanoic Acid</v>
          </cell>
          <cell r="F2501" t="str">
            <v>142-62-1</v>
          </cell>
        </row>
        <row r="2502">
          <cell r="E2502" t="str">
            <v>Methyl-2,4,6-trinitrophenylnitramine</v>
          </cell>
          <cell r="F2502" t="str">
            <v>479-45-8</v>
          </cell>
        </row>
        <row r="2503">
          <cell r="E2503" t="str">
            <v>Naphthalene, 1,2,3,4-tetrahydro-</v>
          </cell>
          <cell r="F2503" t="str">
            <v>119-64-2</v>
          </cell>
        </row>
        <row r="2504">
          <cell r="E2504" t="str">
            <v>n-Propylamine</v>
          </cell>
          <cell r="F2504" t="str">
            <v>107-10-8</v>
          </cell>
        </row>
        <row r="2505">
          <cell r="E2505" t="str">
            <v>n-Propylbenzene</v>
          </cell>
          <cell r="F2505" t="str">
            <v>103-65-1</v>
          </cell>
        </row>
        <row r="2506">
          <cell r="E2506" t="str">
            <v>Oxygen, Dissolved</v>
          </cell>
          <cell r="F2506" t="str">
            <v>DO</v>
          </cell>
        </row>
        <row r="2507">
          <cell r="E2507" t="str">
            <v>PBDE-100</v>
          </cell>
          <cell r="F2507" t="str">
            <v>189084-64-8</v>
          </cell>
        </row>
        <row r="2508">
          <cell r="E2508" t="str">
            <v>PBDE-138</v>
          </cell>
          <cell r="F2508" t="str">
            <v>182677-30-1</v>
          </cell>
        </row>
        <row r="2509">
          <cell r="E2509" t="str">
            <v>PBDE-153</v>
          </cell>
          <cell r="F2509" t="str">
            <v>68631-49-2</v>
          </cell>
        </row>
        <row r="2510">
          <cell r="E2510" t="str">
            <v>PBDE-154</v>
          </cell>
          <cell r="F2510" t="str">
            <v>207122-15-4</v>
          </cell>
        </row>
        <row r="2511">
          <cell r="E2511" t="str">
            <v>PBDE-17</v>
          </cell>
          <cell r="F2511" t="str">
            <v>147217-75-2</v>
          </cell>
        </row>
        <row r="2512">
          <cell r="E2512" t="str">
            <v>PBDE-183</v>
          </cell>
          <cell r="F2512" t="str">
            <v>147217-75-3</v>
          </cell>
        </row>
        <row r="2513">
          <cell r="E2513" t="str">
            <v>PBDE-28</v>
          </cell>
          <cell r="F2513" t="str">
            <v>41318-75-6</v>
          </cell>
        </row>
        <row r="2514">
          <cell r="E2514" t="str">
            <v>PBDE-47</v>
          </cell>
          <cell r="F2514" t="str">
            <v>5436-43-1</v>
          </cell>
        </row>
        <row r="2515">
          <cell r="E2515" t="str">
            <v>PBDE-66</v>
          </cell>
          <cell r="F2515" t="str">
            <v>189084-61-5</v>
          </cell>
        </row>
        <row r="2516">
          <cell r="E2516" t="str">
            <v>PBDE-71</v>
          </cell>
          <cell r="F2516" t="str">
            <v>189084-62-6</v>
          </cell>
        </row>
        <row r="2517">
          <cell r="E2517" t="str">
            <v>PBDE-85</v>
          </cell>
          <cell r="F2517" t="str">
            <v>182346-21-0</v>
          </cell>
        </row>
        <row r="2518">
          <cell r="E2518" t="str">
            <v>PBDE-99</v>
          </cell>
          <cell r="F2518" t="str">
            <v>60348-60-9</v>
          </cell>
        </row>
        <row r="2519">
          <cell r="E2519" t="str">
            <v>Phosphoric acid</v>
          </cell>
          <cell r="F2519" t="str">
            <v>7664-38-2</v>
          </cell>
        </row>
        <row r="2520">
          <cell r="E2520" t="str">
            <v>Platinum</v>
          </cell>
          <cell r="F2520" t="str">
            <v>7440-06-4</v>
          </cell>
        </row>
        <row r="2521">
          <cell r="E2521" t="str">
            <v>Plutonium-239</v>
          </cell>
          <cell r="F2521" t="str">
            <v>15117-48-3</v>
          </cell>
        </row>
        <row r="2522">
          <cell r="E2522" t="str">
            <v>Potassium</v>
          </cell>
          <cell r="F2522" t="str">
            <v>7440-09-7</v>
          </cell>
        </row>
        <row r="2523">
          <cell r="E2523" t="str">
            <v>Potassium-40</v>
          </cell>
          <cell r="F2523" t="str">
            <v>13966-00-2</v>
          </cell>
        </row>
        <row r="2524">
          <cell r="E2524" t="str">
            <v>Prometon</v>
          </cell>
          <cell r="F2524" t="str">
            <v>1610-18-0</v>
          </cell>
        </row>
        <row r="2525">
          <cell r="E2525" t="str">
            <v>Pronamide</v>
          </cell>
          <cell r="F2525" t="str">
            <v>23950-58-5</v>
          </cell>
        </row>
        <row r="2526">
          <cell r="E2526" t="str">
            <v>Propachlor</v>
          </cell>
          <cell r="F2526" t="str">
            <v>1918-16-7</v>
          </cell>
        </row>
        <row r="2527">
          <cell r="E2527" t="str">
            <v>Propanal</v>
          </cell>
          <cell r="F2527" t="str">
            <v>123-38-6</v>
          </cell>
        </row>
        <row r="2528">
          <cell r="E2528" t="str">
            <v>Propane</v>
          </cell>
          <cell r="F2528" t="str">
            <v>74-98-6</v>
          </cell>
        </row>
        <row r="2529">
          <cell r="E2529" t="str">
            <v>Propargite</v>
          </cell>
          <cell r="F2529" t="str">
            <v>2312-35-8</v>
          </cell>
        </row>
        <row r="2530">
          <cell r="E2530" t="str">
            <v>Propazine</v>
          </cell>
          <cell r="F2530" t="str">
            <v>139-40-2</v>
          </cell>
        </row>
        <row r="2531">
          <cell r="E2531" t="str">
            <v>Propham</v>
          </cell>
          <cell r="F2531" t="str">
            <v>122-42-9</v>
          </cell>
        </row>
        <row r="2532">
          <cell r="E2532" t="str">
            <v>Propionitrile</v>
          </cell>
          <cell r="F2532" t="str">
            <v>107-12-0</v>
          </cell>
        </row>
        <row r="2533">
          <cell r="E2533" t="str">
            <v>Propylene</v>
          </cell>
          <cell r="F2533" t="str">
            <v>115-07-1</v>
          </cell>
        </row>
        <row r="2534">
          <cell r="E2534" t="str">
            <v>Propylene glycol</v>
          </cell>
          <cell r="F2534" t="str">
            <v>57-55-6</v>
          </cell>
        </row>
        <row r="2535">
          <cell r="E2535" t="str">
            <v>Propylene oxide</v>
          </cell>
          <cell r="F2535" t="str">
            <v>75-56-9</v>
          </cell>
        </row>
        <row r="2536">
          <cell r="E2536" t="str">
            <v>Propylthiouracil</v>
          </cell>
          <cell r="F2536" t="str">
            <v>51-52-5</v>
          </cell>
        </row>
        <row r="2537">
          <cell r="E2537" t="str">
            <v>Protactinium-234</v>
          </cell>
          <cell r="F2537" t="str">
            <v>15100-28-4</v>
          </cell>
        </row>
        <row r="2538">
          <cell r="E2538" t="str">
            <v>p-Terphenyl</v>
          </cell>
          <cell r="F2538" t="str">
            <v>92-94-4</v>
          </cell>
        </row>
        <row r="2539">
          <cell r="E2539" t="str">
            <v>p-Toluidine</v>
          </cell>
          <cell r="F2539" t="str">
            <v>106-49-0</v>
          </cell>
        </row>
        <row r="2540">
          <cell r="E2540" t="str">
            <v>p-Xylene</v>
          </cell>
          <cell r="F2540" t="str">
            <v>106-42-3</v>
          </cell>
        </row>
        <row r="2541">
          <cell r="E2541" t="str">
            <v>Pyrene</v>
          </cell>
          <cell r="F2541" t="str">
            <v>129-00-0</v>
          </cell>
        </row>
        <row r="2542">
          <cell r="E2542" t="str">
            <v>Pyridine</v>
          </cell>
          <cell r="F2542" t="str">
            <v>110-86-1</v>
          </cell>
        </row>
        <row r="2543">
          <cell r="E2543" t="str">
            <v>Pyruvic Acid</v>
          </cell>
          <cell r="F2543" t="str">
            <v>127-17-3</v>
          </cell>
        </row>
        <row r="2544">
          <cell r="E2544" t="str">
            <v>Radium</v>
          </cell>
          <cell r="F2544" t="str">
            <v>7440-14-4</v>
          </cell>
        </row>
        <row r="2545">
          <cell r="E2545" t="str">
            <v>Radium-224</v>
          </cell>
          <cell r="F2545" t="str">
            <v>13233-32-4</v>
          </cell>
        </row>
        <row r="2546">
          <cell r="E2546" t="str">
            <v>Radium-226</v>
          </cell>
          <cell r="F2546" t="str">
            <v>13982-63-3</v>
          </cell>
        </row>
        <row r="2547">
          <cell r="E2547" t="str">
            <v>Radium-228</v>
          </cell>
          <cell r="F2547" t="str">
            <v>15262-20-1</v>
          </cell>
        </row>
        <row r="2548">
          <cell r="E2548" t="str">
            <v>Radon-219</v>
          </cell>
          <cell r="F2548" t="str">
            <v>10043-92-2</v>
          </cell>
        </row>
        <row r="2549">
          <cell r="E2549" t="str">
            <v>Radon-222</v>
          </cell>
          <cell r="F2549" t="str">
            <v>14859-67-7</v>
          </cell>
        </row>
        <row r="2550">
          <cell r="E2550" t="str">
            <v>Ronnel</v>
          </cell>
          <cell r="F2550" t="str">
            <v>299-84-3</v>
          </cell>
        </row>
        <row r="2551">
          <cell r="E2551" t="str">
            <v>Rotenone</v>
          </cell>
          <cell r="F2551" t="str">
            <v>83-79-4</v>
          </cell>
        </row>
        <row r="2552">
          <cell r="E2552" t="str">
            <v>Ruthenium-106</v>
          </cell>
          <cell r="F2552" t="str">
            <v>13967-48-1</v>
          </cell>
        </row>
        <row r="2553">
          <cell r="E2553" t="str">
            <v>Safrole</v>
          </cell>
          <cell r="F2553" t="str">
            <v>94-59-7</v>
          </cell>
        </row>
        <row r="2554">
          <cell r="E2554" t="str">
            <v>Salinity</v>
          </cell>
          <cell r="F2554" t="str">
            <v>SAL</v>
          </cell>
        </row>
        <row r="2555">
          <cell r="E2555" t="str">
            <v>Scandium</v>
          </cell>
          <cell r="F2555" t="str">
            <v>13967-63-0</v>
          </cell>
        </row>
        <row r="2556">
          <cell r="E2556" t="str">
            <v>sec-Butylbenzene</v>
          </cell>
          <cell r="F2556" t="str">
            <v>135-98-8</v>
          </cell>
        </row>
        <row r="2557">
          <cell r="E2557" t="str">
            <v>Selenium</v>
          </cell>
          <cell r="F2557" t="str">
            <v>7782-49-2</v>
          </cell>
        </row>
        <row r="2558">
          <cell r="E2558" t="str">
            <v>Settleable Matter</v>
          </cell>
          <cell r="F2558" t="str">
            <v>SS</v>
          </cell>
        </row>
        <row r="2559">
          <cell r="E2559" t="str">
            <v>Siduron</v>
          </cell>
          <cell r="F2559" t="str">
            <v>1982-49-6</v>
          </cell>
        </row>
        <row r="2560">
          <cell r="E2560" t="str">
            <v>Silica</v>
          </cell>
          <cell r="F2560" t="str">
            <v>7631-86-9</v>
          </cell>
        </row>
        <row r="2561">
          <cell r="E2561" t="str">
            <v>Silicon</v>
          </cell>
          <cell r="F2561" t="str">
            <v>7440-21-3</v>
          </cell>
        </row>
        <row r="2562">
          <cell r="E2562" t="str">
            <v>Silver</v>
          </cell>
          <cell r="F2562" t="str">
            <v>7440-22-4</v>
          </cell>
        </row>
        <row r="2563">
          <cell r="E2563" t="str">
            <v>Simazine</v>
          </cell>
          <cell r="F2563" t="str">
            <v>122-34-9</v>
          </cell>
        </row>
        <row r="2564">
          <cell r="E2564" t="str">
            <v>Simetryn</v>
          </cell>
          <cell r="F2564" t="str">
            <v>1014-70-6</v>
          </cell>
        </row>
        <row r="2565">
          <cell r="E2565" t="str">
            <v>Sodium</v>
          </cell>
          <cell r="F2565" t="str">
            <v>7440-23-5</v>
          </cell>
        </row>
        <row r="2566">
          <cell r="E2566" t="str">
            <v>Sodium-22</v>
          </cell>
          <cell r="F2566" t="str">
            <v>13966-32-0</v>
          </cell>
        </row>
        <row r="2567">
          <cell r="E2567" t="str">
            <v>Specific Conductance</v>
          </cell>
          <cell r="F2567" t="str">
            <v>SC</v>
          </cell>
        </row>
        <row r="2568">
          <cell r="E2568" t="str">
            <v>Strontium</v>
          </cell>
          <cell r="F2568" t="str">
            <v>7440-24-6</v>
          </cell>
        </row>
        <row r="2569">
          <cell r="E2569" t="str">
            <v>Strontium-85</v>
          </cell>
          <cell r="F2569" t="str">
            <v>13967-73-2</v>
          </cell>
        </row>
        <row r="2570">
          <cell r="E2570" t="str">
            <v>Strontium-90</v>
          </cell>
          <cell r="F2570" t="str">
            <v>10098-97-2</v>
          </cell>
        </row>
        <row r="2571">
          <cell r="E2571" t="str">
            <v>Strychnine</v>
          </cell>
          <cell r="F2571" t="str">
            <v>57-24-9</v>
          </cell>
        </row>
        <row r="2572">
          <cell r="E2572" t="str">
            <v>Styrene</v>
          </cell>
          <cell r="F2572" t="str">
            <v>100-42-5</v>
          </cell>
        </row>
        <row r="2573">
          <cell r="E2573" t="str">
            <v>Sulfallate</v>
          </cell>
          <cell r="F2573" t="str">
            <v>95-06-7</v>
          </cell>
        </row>
        <row r="2574">
          <cell r="E2574" t="str">
            <v>Sulfate</v>
          </cell>
          <cell r="F2574" t="str">
            <v>14808-79-8</v>
          </cell>
        </row>
        <row r="2575">
          <cell r="E2575" t="str">
            <v>Sulfide</v>
          </cell>
          <cell r="F2575" t="str">
            <v>18496-25-8</v>
          </cell>
        </row>
        <row r="2576">
          <cell r="E2576" t="str">
            <v>Sulfite</v>
          </cell>
          <cell r="F2576" t="str">
            <v>14265-45-3</v>
          </cell>
        </row>
        <row r="2577">
          <cell r="E2577" t="str">
            <v>Sulfotep</v>
          </cell>
          <cell r="F2577" t="str">
            <v>3689-24-5</v>
          </cell>
        </row>
        <row r="2578">
          <cell r="E2578" t="str">
            <v>Sulfur</v>
          </cell>
          <cell r="F2578" t="str">
            <v>7704-34-9</v>
          </cell>
        </row>
        <row r="2579">
          <cell r="E2579" t="str">
            <v>Sulfur Dioxide</v>
          </cell>
          <cell r="F2579" t="str">
            <v>7446-09-5</v>
          </cell>
        </row>
        <row r="2580">
          <cell r="E2580" t="str">
            <v>Sulfuric Acid</v>
          </cell>
          <cell r="F2580" t="str">
            <v>7664-93-9</v>
          </cell>
        </row>
        <row r="2581">
          <cell r="E2581" t="str">
            <v>Tebuthiuron</v>
          </cell>
          <cell r="F2581" t="str">
            <v>34014-18-1</v>
          </cell>
        </row>
        <row r="2582">
          <cell r="E2582" t="str">
            <v>Tellurium</v>
          </cell>
          <cell r="F2582" t="str">
            <v>13494-80-9</v>
          </cell>
        </row>
        <row r="2583">
          <cell r="E2583" t="str">
            <v>Temephos</v>
          </cell>
          <cell r="F2583" t="str">
            <v>3383-96-8</v>
          </cell>
        </row>
        <row r="2584">
          <cell r="E2584" t="str">
            <v>Temperature</v>
          </cell>
          <cell r="F2584" t="str">
            <v>TEMP</v>
          </cell>
        </row>
        <row r="2585">
          <cell r="E2585" t="str">
            <v>Terbacil</v>
          </cell>
          <cell r="F2585" t="str">
            <v>5902-51-2</v>
          </cell>
        </row>
        <row r="2586">
          <cell r="E2586" t="str">
            <v>Terbufos</v>
          </cell>
          <cell r="F2586" t="str">
            <v>13071-79-9</v>
          </cell>
        </row>
        <row r="2587">
          <cell r="E2587" t="str">
            <v>Terbutryn</v>
          </cell>
          <cell r="F2587" t="str">
            <v>886-50-0</v>
          </cell>
        </row>
        <row r="2588">
          <cell r="E2588" t="str">
            <v>Terphenyl-d14</v>
          </cell>
          <cell r="F2588" t="str">
            <v>1718-51-0</v>
          </cell>
        </row>
        <row r="2589">
          <cell r="E2589" t="str">
            <v>tert-Amyl methyl ether (TAME)</v>
          </cell>
          <cell r="F2589" t="str">
            <v>994-05-8</v>
          </cell>
        </row>
        <row r="2590">
          <cell r="E2590" t="str">
            <v>tert-Butyl alcohol (TBA)</v>
          </cell>
          <cell r="F2590" t="str">
            <v>75-65-0</v>
          </cell>
        </row>
        <row r="2591">
          <cell r="E2591" t="str">
            <v>tert-Butyl formate (TBF)</v>
          </cell>
          <cell r="F2591" t="str">
            <v>762-75-4</v>
          </cell>
        </row>
        <row r="2592">
          <cell r="E2592" t="str">
            <v>tert-Butylbenzene</v>
          </cell>
          <cell r="F2592" t="str">
            <v>98-06-6</v>
          </cell>
        </row>
        <row r="2593">
          <cell r="E2593" t="str">
            <v>Tetrabutyltin</v>
          </cell>
          <cell r="F2593" t="str">
            <v>1461-25-2</v>
          </cell>
        </row>
        <row r="2594">
          <cell r="E2594" t="str">
            <v>Tetrachlorobiphenyl</v>
          </cell>
          <cell r="F2594" t="str">
            <v>26914-33-0</v>
          </cell>
        </row>
        <row r="2595">
          <cell r="E2595" t="str">
            <v>Tetrachloroethene (PCE)</v>
          </cell>
          <cell r="F2595" t="str">
            <v>127-18-4</v>
          </cell>
        </row>
        <row r="2596">
          <cell r="E2596" t="str">
            <v>Tetrachloro-m-xylene</v>
          </cell>
          <cell r="F2596" t="str">
            <v>877-09-8</v>
          </cell>
        </row>
        <row r="2597">
          <cell r="E2597" t="str">
            <v>Tetrachlorvinphos (Stirophos)</v>
          </cell>
          <cell r="F2597" t="str">
            <v>22248-79-9</v>
          </cell>
        </row>
        <row r="2598">
          <cell r="E2598" t="str">
            <v>Tetracosane</v>
          </cell>
          <cell r="F2598" t="str">
            <v>646-31-1</v>
          </cell>
        </row>
        <row r="2599">
          <cell r="E2599" t="str">
            <v>Tetracosanoic acid</v>
          </cell>
          <cell r="F2599" t="str">
            <v>544-63-8</v>
          </cell>
        </row>
        <row r="2600">
          <cell r="E2600" t="str">
            <v>Tetraethyl lead</v>
          </cell>
          <cell r="F2600" t="str">
            <v>78-00-2</v>
          </cell>
        </row>
        <row r="2601">
          <cell r="E2601" t="str">
            <v>Tetraethyl pyrophosphate</v>
          </cell>
          <cell r="F2601" t="str">
            <v>107-49-3</v>
          </cell>
        </row>
        <row r="2602">
          <cell r="E2602" t="str">
            <v>Tetraethylene glycol</v>
          </cell>
          <cell r="F2602" t="str">
            <v>112-60-7</v>
          </cell>
        </row>
        <row r="2603">
          <cell r="E2603" t="str">
            <v>Tetrahydrofuran</v>
          </cell>
          <cell r="F2603" t="str">
            <v>109-99-9</v>
          </cell>
        </row>
        <row r="2604">
          <cell r="E2604" t="str">
            <v>Tetrahydrothiophene</v>
          </cell>
          <cell r="F2604" t="str">
            <v>110-01-0</v>
          </cell>
        </row>
        <row r="2605">
          <cell r="E2605" t="str">
            <v>Tetramethyl Lead</v>
          </cell>
          <cell r="F2605" t="str">
            <v>75-74-1</v>
          </cell>
        </row>
        <row r="2606">
          <cell r="E2606" t="str">
            <v>Tetratriacontane</v>
          </cell>
          <cell r="F2606" t="str">
            <v>14167-59-0</v>
          </cell>
        </row>
        <row r="2607">
          <cell r="E2607" t="str">
            <v>Thallium</v>
          </cell>
          <cell r="F2607" t="str">
            <v>7440-28-0</v>
          </cell>
        </row>
        <row r="2608">
          <cell r="E2608" t="str">
            <v>Thallium-208</v>
          </cell>
          <cell r="F2608" t="str">
            <v>14913-50-9</v>
          </cell>
        </row>
        <row r="2609">
          <cell r="E2609" t="str">
            <v>Thiobencarb</v>
          </cell>
          <cell r="F2609" t="str">
            <v>28249-77-6</v>
          </cell>
        </row>
        <row r="2610">
          <cell r="E2610" t="str">
            <v>Thiodiglycol</v>
          </cell>
          <cell r="F2610" t="str">
            <v>111-48-8</v>
          </cell>
        </row>
        <row r="2611">
          <cell r="E2611" t="str">
            <v>Thionazine</v>
          </cell>
          <cell r="F2611" t="str">
            <v>297-97-2</v>
          </cell>
        </row>
        <row r="2612">
          <cell r="E2612" t="str">
            <v>Thiophene</v>
          </cell>
          <cell r="F2612" t="str">
            <v>110-02-1</v>
          </cell>
        </row>
        <row r="2613">
          <cell r="E2613" t="str">
            <v>Thiophenol (Benzenethiol)</v>
          </cell>
          <cell r="F2613" t="str">
            <v>108-98-5</v>
          </cell>
        </row>
        <row r="2614">
          <cell r="E2614" t="str">
            <v>Thiram</v>
          </cell>
          <cell r="F2614" t="str">
            <v>137-26-8</v>
          </cell>
        </row>
        <row r="2615">
          <cell r="E2615" t="str">
            <v>Thorium-227</v>
          </cell>
          <cell r="F2615" t="str">
            <v>15623-47-9</v>
          </cell>
        </row>
        <row r="2616">
          <cell r="E2616" t="str">
            <v>Thorium-228</v>
          </cell>
          <cell r="F2616" t="str">
            <v>14274-82-9</v>
          </cell>
        </row>
        <row r="2617">
          <cell r="E2617" t="str">
            <v>Thorium-230</v>
          </cell>
          <cell r="F2617" t="str">
            <v>14269-63-7</v>
          </cell>
        </row>
        <row r="2618">
          <cell r="E2618" t="str">
            <v>Thorium-232</v>
          </cell>
          <cell r="F2618" t="str">
            <v>7440-29-1</v>
          </cell>
        </row>
        <row r="2619">
          <cell r="E2619" t="str">
            <v>Thorium-234</v>
          </cell>
          <cell r="F2619" t="str">
            <v>15065-10-8</v>
          </cell>
        </row>
        <row r="2620">
          <cell r="E2620" t="str">
            <v>Tin</v>
          </cell>
          <cell r="F2620" t="str">
            <v>7440-31-5</v>
          </cell>
        </row>
        <row r="2621">
          <cell r="E2621" t="str">
            <v>Urea</v>
          </cell>
          <cell r="F2621" t="str">
            <v>62-56-6</v>
          </cell>
        </row>
        <row r="2622">
          <cell r="E2622" t="str">
            <v>9H-Fluorene, 2-methyl-</v>
          </cell>
          <cell r="F2622" t="str">
            <v>1430-97-3</v>
          </cell>
        </row>
        <row r="2623">
          <cell r="E2623" t="str">
            <v>2,4,6-Trichloroaniline</v>
          </cell>
          <cell r="F2623" t="str">
            <v>634-93-5</v>
          </cell>
        </row>
        <row r="2624">
          <cell r="E2624" t="str">
            <v>Decanoic acid</v>
          </cell>
          <cell r="F2624" t="str">
            <v>334-48-5</v>
          </cell>
        </row>
        <row r="2625">
          <cell r="E2625" t="str">
            <v>Benzal chloride</v>
          </cell>
          <cell r="F2625" t="str">
            <v>98-87-3</v>
          </cell>
        </row>
        <row r="2626">
          <cell r="E2626" t="str">
            <v>Acrylic Acid</v>
          </cell>
          <cell r="F2626" t="str">
            <v>79-10-7</v>
          </cell>
        </row>
        <row r="2627">
          <cell r="E2627" t="str">
            <v>Actinium-228</v>
          </cell>
          <cell r="F2627" t="str">
            <v>14331-83-0</v>
          </cell>
        </row>
        <row r="2628">
          <cell r="E2628" t="str">
            <v>Acetonitrile</v>
          </cell>
          <cell r="F2628" t="str">
            <v>75-05-8</v>
          </cell>
        </row>
        <row r="2629">
          <cell r="E2629" t="str">
            <v>Acetone</v>
          </cell>
          <cell r="F2629" t="str">
            <v>67-64-1</v>
          </cell>
        </row>
        <row r="2630">
          <cell r="E2630" t="str">
            <v>Acephate</v>
          </cell>
          <cell r="F2630" t="str">
            <v>30560-19-1</v>
          </cell>
        </row>
        <row r="2631">
          <cell r="E2631" t="str">
            <v>Acetaldehyde</v>
          </cell>
          <cell r="F2631" t="str">
            <v>75-07-0</v>
          </cell>
        </row>
        <row r="2632">
          <cell r="E2632" t="str">
            <v>Acetic acid</v>
          </cell>
          <cell r="F2632" t="str">
            <v>64-19-7</v>
          </cell>
        </row>
        <row r="2633">
          <cell r="E2633" t="str">
            <v>Acetylene</v>
          </cell>
          <cell r="F2633" t="str">
            <v>74-86-2</v>
          </cell>
        </row>
        <row r="2634">
          <cell r="E2634" t="str">
            <v>Acenaphthene</v>
          </cell>
          <cell r="F2634" t="str">
            <v>83-32-9</v>
          </cell>
        </row>
        <row r="2635">
          <cell r="E2635" t="str">
            <v>Acenaphthylene</v>
          </cell>
          <cell r="F2635" t="str">
            <v>208-96-8</v>
          </cell>
        </row>
        <row r="2636">
          <cell r="E2636" t="str">
            <v>Acetophenone</v>
          </cell>
          <cell r="F2636" t="str">
            <v>98-86-2</v>
          </cell>
        </row>
        <row r="2637">
          <cell r="E2637" t="str">
            <v>Acrylonitrile</v>
          </cell>
          <cell r="F2637" t="str">
            <v>107-13-1</v>
          </cell>
        </row>
        <row r="2638">
          <cell r="E2638" t="str">
            <v>Acrolein</v>
          </cell>
          <cell r="F2638" t="str">
            <v>107-02-8</v>
          </cell>
        </row>
        <row r="2639">
          <cell r="E2639" t="str">
            <v>Acrylamide</v>
          </cell>
          <cell r="F2639" t="str">
            <v>79-06-1</v>
          </cell>
        </row>
        <row r="2640">
          <cell r="E2640" t="str">
            <v>Asbestos, Actinolite</v>
          </cell>
          <cell r="F2640" t="str">
            <v>77536-66-4</v>
          </cell>
        </row>
        <row r="2641">
          <cell r="E2641" t="str">
            <v>Acifluorfen</v>
          </cell>
          <cell r="F2641" t="str">
            <v>50594-66-6</v>
          </cell>
        </row>
        <row r="2642">
          <cell r="E2642" t="str">
            <v>Aluminum</v>
          </cell>
          <cell r="F2642" t="str">
            <v>7429-90-5</v>
          </cell>
        </row>
        <row r="2643">
          <cell r="E2643" t="str">
            <v>Alachlor</v>
          </cell>
          <cell r="F2643" t="str">
            <v>15972-60-8</v>
          </cell>
        </row>
        <row r="2644">
          <cell r="E2644" t="str">
            <v>Aldicarb</v>
          </cell>
          <cell r="F2644" t="str">
            <v>116-06-3</v>
          </cell>
        </row>
        <row r="2645">
          <cell r="E2645" t="str">
            <v>Aldrin</v>
          </cell>
          <cell r="F2645" t="str">
            <v>309-00-2</v>
          </cell>
        </row>
        <row r="2646">
          <cell r="E2646" t="str">
            <v>Aldicarb sulfone</v>
          </cell>
          <cell r="F2646" t="str">
            <v>1646-88-4</v>
          </cell>
        </row>
        <row r="2647">
          <cell r="E2647" t="str">
            <v>Bicarbonate Alkalinity as CACO3</v>
          </cell>
          <cell r="F2647" t="str">
            <v>ALK</v>
          </cell>
        </row>
        <row r="2648">
          <cell r="E2648" t="str">
            <v>Allyl alcohol</v>
          </cell>
          <cell r="F2648" t="str">
            <v>107-18-6</v>
          </cell>
        </row>
        <row r="2649">
          <cell r="E2649" t="str">
            <v>Americium-241</v>
          </cell>
          <cell r="F2649" t="str">
            <v>86954-36-1</v>
          </cell>
        </row>
        <row r="2650">
          <cell r="E2650" t="str">
            <v>2-Aminoanthraquinone</v>
          </cell>
          <cell r="F2650" t="str">
            <v>117-79-3</v>
          </cell>
        </row>
        <row r="2651">
          <cell r="E2651" t="str">
            <v>alpha-Methylstyrene</v>
          </cell>
          <cell r="F2651" t="str">
            <v>98-83-9</v>
          </cell>
        </row>
        <row r="2652">
          <cell r="E2652" t="str">
            <v>Ametryn</v>
          </cell>
          <cell r="F2652" t="str">
            <v>834-12-8</v>
          </cell>
        </row>
        <row r="2653">
          <cell r="E2653" t="str">
            <v>Aminocarb</v>
          </cell>
          <cell r="F2653" t="str">
            <v>2032-59-9</v>
          </cell>
        </row>
        <row r="2654">
          <cell r="E2654" t="str">
            <v>2-Naphthylamine</v>
          </cell>
          <cell r="F2654" t="str">
            <v>91-59-8</v>
          </cell>
        </row>
        <row r="2655">
          <cell r="E2655" t="str">
            <v>Asbestos, Amosite (Grunerite)</v>
          </cell>
          <cell r="F2655" t="str">
            <v>12172-73-5</v>
          </cell>
        </row>
        <row r="2656">
          <cell r="E2656" t="str">
            <v>5a-Androstane</v>
          </cell>
          <cell r="F2656" t="str">
            <v>438-22-2</v>
          </cell>
        </row>
        <row r="2657">
          <cell r="E2657" t="str">
            <v>Aniline</v>
          </cell>
          <cell r="F2657" t="str">
            <v>62-53-3</v>
          </cell>
        </row>
        <row r="2658">
          <cell r="E2658" t="str">
            <v>Anilazine</v>
          </cell>
          <cell r="F2658" t="str">
            <v>101-05-3</v>
          </cell>
        </row>
        <row r="2659">
          <cell r="E2659" t="str">
            <v>Aramite</v>
          </cell>
          <cell r="F2659" t="str">
            <v>140-57-8</v>
          </cell>
        </row>
        <row r="2660">
          <cell r="E2660" t="str">
            <v>Arsenic</v>
          </cell>
          <cell r="F2660" t="str">
            <v>7440-38-2</v>
          </cell>
        </row>
        <row r="2661">
          <cell r="E2661" t="str">
            <v>Asbestos</v>
          </cell>
          <cell r="F2661" t="str">
            <v>1332-21-4</v>
          </cell>
        </row>
        <row r="2662">
          <cell r="E2662" t="str">
            <v>alpha-Terpineol</v>
          </cell>
          <cell r="F2662" t="str">
            <v>98-55-5</v>
          </cell>
        </row>
        <row r="2663">
          <cell r="E2663" t="str">
            <v>Atrazine</v>
          </cell>
          <cell r="F2663" t="str">
            <v>1912-24-9</v>
          </cell>
        </row>
        <row r="2664">
          <cell r="E2664" t="str">
            <v>Azinphos methyl</v>
          </cell>
          <cell r="F2664" t="str">
            <v>86-50-0</v>
          </cell>
        </row>
        <row r="2665">
          <cell r="E2665" t="str">
            <v>Azobenzene</v>
          </cell>
          <cell r="F2665" t="str">
            <v>103-33-3</v>
          </cell>
        </row>
        <row r="2666">
          <cell r="E2666" t="str">
            <v>Boron</v>
          </cell>
          <cell r="F2666" t="str">
            <v>7440-42-8</v>
          </cell>
        </row>
        <row r="2667">
          <cell r="E2667" t="str">
            <v>Barium</v>
          </cell>
          <cell r="F2667" t="str">
            <v>7440-39-3</v>
          </cell>
        </row>
        <row r="2668">
          <cell r="E2668" t="str">
            <v>Barban</v>
          </cell>
          <cell r="F2668" t="str">
            <v>101-27-9</v>
          </cell>
        </row>
        <row r="2669">
          <cell r="E2669" t="str">
            <v>Benzyl butyl phthalate</v>
          </cell>
          <cell r="F2669" t="str">
            <v>85-68-7</v>
          </cell>
        </row>
        <row r="2670">
          <cell r="E2670" t="str">
            <v>Bromodichloromethane</v>
          </cell>
          <cell r="F2670" t="str">
            <v>75-27-4</v>
          </cell>
        </row>
        <row r="2671">
          <cell r="E2671" t="str">
            <v>Beryllium</v>
          </cell>
          <cell r="F2671" t="str">
            <v>7440-41-7</v>
          </cell>
        </row>
        <row r="2672">
          <cell r="E2672" t="str">
            <v>Beryllium-7</v>
          </cell>
          <cell r="F2672" t="str">
            <v>13966-02-4</v>
          </cell>
        </row>
        <row r="2673">
          <cell r="E2673" t="str">
            <v>Bendiocarb</v>
          </cell>
          <cell r="F2673" t="str">
            <v>22781-23-3</v>
          </cell>
        </row>
        <row r="2674">
          <cell r="E2674" t="str">
            <v>Benomyl</v>
          </cell>
          <cell r="F2674" t="str">
            <v>17804-35-2</v>
          </cell>
        </row>
        <row r="2675">
          <cell r="E2675" t="str">
            <v>alpha-BHC</v>
          </cell>
          <cell r="F2675" t="str">
            <v>319-84-6</v>
          </cell>
        </row>
        <row r="2676">
          <cell r="E2676" t="str">
            <v>beta-BHC</v>
          </cell>
          <cell r="F2676" t="str">
            <v>319-85-7</v>
          </cell>
        </row>
        <row r="2677">
          <cell r="E2677" t="str">
            <v>Bismuth</v>
          </cell>
          <cell r="F2677" t="str">
            <v>7440-69-9</v>
          </cell>
        </row>
        <row r="2678">
          <cell r="E2678" t="str">
            <v>Bismuth-212</v>
          </cell>
          <cell r="F2678" t="str">
            <v>14913-49-6</v>
          </cell>
        </row>
        <row r="2679">
          <cell r="E2679" t="str">
            <v>Bismuth-214</v>
          </cell>
          <cell r="F2679" t="str">
            <v>14733-03-0</v>
          </cell>
        </row>
        <row r="2680">
          <cell r="E2680" t="str">
            <v>Biphenyl</v>
          </cell>
          <cell r="F2680" t="str">
            <v>92-52-4</v>
          </cell>
        </row>
        <row r="2681">
          <cell r="E2681" t="str">
            <v>Bisphenol A</v>
          </cell>
          <cell r="F2681" t="str">
            <v>80-05-7</v>
          </cell>
        </row>
        <row r="2682">
          <cell r="E2682" t="str">
            <v>Bromide</v>
          </cell>
          <cell r="F2682" t="str">
            <v>24959-67-9</v>
          </cell>
        </row>
        <row r="2683">
          <cell r="E2683" t="str">
            <v>Bromochloromethane</v>
          </cell>
          <cell r="F2683" t="str">
            <v>74-97-5</v>
          </cell>
        </row>
        <row r="2684">
          <cell r="E2684" t="str">
            <v>Bromoethane</v>
          </cell>
          <cell r="F2684" t="str">
            <v>74-96-4</v>
          </cell>
        </row>
        <row r="2685">
          <cell r="E2685" t="str">
            <v>Bromomethane</v>
          </cell>
          <cell r="F2685" t="str">
            <v>74-83-9</v>
          </cell>
        </row>
        <row r="2686">
          <cell r="E2686" t="str">
            <v>Bromate ion (BrO3) (1-)</v>
          </cell>
          <cell r="F2686" t="str">
            <v>15541-45-4</v>
          </cell>
        </row>
        <row r="2687">
          <cell r="E2687" t="str">
            <v>Bromacil</v>
          </cell>
          <cell r="F2687" t="str">
            <v>314-40-9</v>
          </cell>
        </row>
        <row r="2688">
          <cell r="E2688" t="str">
            <v>Bromine</v>
          </cell>
          <cell r="F2688" t="str">
            <v>7726-95-6</v>
          </cell>
        </row>
        <row r="2689">
          <cell r="E2689" t="str">
            <v>Bromoxynil</v>
          </cell>
          <cell r="F2689" t="str">
            <v>1689-84-5</v>
          </cell>
        </row>
        <row r="2690">
          <cell r="E2690" t="str">
            <v>n-Butyl mercaptan</v>
          </cell>
          <cell r="F2690" t="str">
            <v>109-79-5</v>
          </cell>
        </row>
        <row r="2691">
          <cell r="E2691" t="str">
            <v>n-Butanol</v>
          </cell>
          <cell r="F2691" t="str">
            <v>71-36-3</v>
          </cell>
        </row>
        <row r="2692">
          <cell r="E2692" t="str">
            <v>Butyltin</v>
          </cell>
          <cell r="F2692" t="str">
            <v>2406-65-7</v>
          </cell>
        </row>
        <row r="2693">
          <cell r="E2693" t="str">
            <v>Bentazon</v>
          </cell>
          <cell r="F2693" t="str">
            <v>25057-89-0</v>
          </cell>
        </row>
        <row r="2694">
          <cell r="E2694" t="str">
            <v>Butachlor</v>
          </cell>
          <cell r="F2694" t="str">
            <v>23184-66-9</v>
          </cell>
        </row>
        <row r="2695">
          <cell r="E2695" t="str">
            <v>Butylate</v>
          </cell>
          <cell r="F2695" t="str">
            <v>2008-41-5</v>
          </cell>
        </row>
        <row r="2696">
          <cell r="E2696" t="str">
            <v>Benzo(a)anthracene</v>
          </cell>
          <cell r="F2696" t="str">
            <v>56-55-3</v>
          </cell>
        </row>
        <row r="2697">
          <cell r="E2697" t="str">
            <v>Benzoic acid</v>
          </cell>
          <cell r="F2697" t="str">
            <v>65-85-0</v>
          </cell>
        </row>
        <row r="2698">
          <cell r="E2698" t="str">
            <v>Benzaldehyde</v>
          </cell>
          <cell r="F2698" t="str">
            <v>100-52-7</v>
          </cell>
        </row>
        <row r="2699">
          <cell r="E2699" t="str">
            <v>Benzo(a)pyrene</v>
          </cell>
          <cell r="F2699" t="str">
            <v>50-32-8</v>
          </cell>
        </row>
        <row r="2700">
          <cell r="E2700" t="str">
            <v>Benzo(b)fluoranthene</v>
          </cell>
          <cell r="F2700" t="str">
            <v>205-99-2</v>
          </cell>
        </row>
        <row r="2701">
          <cell r="E2701" t="str">
            <v>Benzidine</v>
          </cell>
          <cell r="F2701" t="str">
            <v>92-87-5</v>
          </cell>
        </row>
        <row r="2702">
          <cell r="E2702" t="str">
            <v>Benzo(e)pyrene</v>
          </cell>
          <cell r="F2702" t="str">
            <v>192-97-2</v>
          </cell>
        </row>
        <row r="2703">
          <cell r="E2703" t="str">
            <v>Benzo(g,h,i)perylene</v>
          </cell>
          <cell r="F2703" t="str">
            <v>191-24-2</v>
          </cell>
        </row>
        <row r="2704">
          <cell r="E2704" t="str">
            <v>Benzo(j)fluoranthene</v>
          </cell>
          <cell r="F2704" t="str">
            <v>205-82-3</v>
          </cell>
        </row>
        <row r="2705">
          <cell r="E2705" t="str">
            <v>Benzo(k)fluoranthene</v>
          </cell>
          <cell r="F2705" t="str">
            <v>207-08-9</v>
          </cell>
        </row>
        <row r="2706">
          <cell r="E2706" t="str">
            <v>Benzyl alcohol</v>
          </cell>
          <cell r="F2706" t="str">
            <v>100-51-6</v>
          </cell>
        </row>
        <row r="2707">
          <cell r="E2707" t="str">
            <v>Carbon-14</v>
          </cell>
          <cell r="F2707" t="str">
            <v>14762-75-5</v>
          </cell>
        </row>
        <row r="2708">
          <cell r="E2708" t="str">
            <v>cis-2-Butene</v>
          </cell>
          <cell r="F2708" t="str">
            <v>590-18-1</v>
          </cell>
        </row>
        <row r="2709">
          <cell r="E2709" t="str">
            <v>4-Chloro-3-methylphenol</v>
          </cell>
          <cell r="F2709" t="str">
            <v>59-50-7</v>
          </cell>
        </row>
        <row r="2710">
          <cell r="E2710" t="str">
            <v>Calcium</v>
          </cell>
          <cell r="F2710" t="str">
            <v>7440-70-2</v>
          </cell>
        </row>
        <row r="2711">
          <cell r="E2711" t="str">
            <v>Chloroacetic acid</v>
          </cell>
          <cell r="F2711" t="str">
            <v>79-11-8</v>
          </cell>
        </row>
        <row r="2712">
          <cell r="E2712" t="str">
            <v>Carbonate as CaCO3</v>
          </cell>
          <cell r="F2712" t="str">
            <v>471-34-1</v>
          </cell>
        </row>
        <row r="2713">
          <cell r="E2713" t="str">
            <v>Caprolactam</v>
          </cell>
          <cell r="F2713" t="str">
            <v>105-60-2</v>
          </cell>
        </row>
        <row r="2714">
          <cell r="E2714" t="str">
            <v>Captafol</v>
          </cell>
          <cell r="F2714" t="str">
            <v>2425-06-1</v>
          </cell>
        </row>
        <row r="2715">
          <cell r="E2715" t="str">
            <v>Captan</v>
          </cell>
          <cell r="F2715" t="str">
            <v>133-06-2</v>
          </cell>
        </row>
        <row r="2716">
          <cell r="E2716" t="str">
            <v>Carbazole</v>
          </cell>
          <cell r="F2716" t="str">
            <v>86-74-8</v>
          </cell>
        </row>
        <row r="2717">
          <cell r="E2717" t="str">
            <v>Carboxin</v>
          </cell>
          <cell r="F2717" t="str">
            <v>5234-68-4</v>
          </cell>
        </row>
        <row r="2718">
          <cell r="E2718" t="str">
            <v>Carbon disulfide</v>
          </cell>
          <cell r="F2718" t="str">
            <v>75-15-0</v>
          </cell>
        </row>
        <row r="2719">
          <cell r="E2719" t="str">
            <v>2-Chloroethyl vinyl ether</v>
          </cell>
          <cell r="F2719" t="str">
            <v>110-75-8</v>
          </cell>
        </row>
        <row r="2720">
          <cell r="E2720" t="str">
            <v>alpha-Chlordane</v>
          </cell>
          <cell r="F2720" t="str">
            <v>5103-71-9</v>
          </cell>
        </row>
        <row r="2721">
          <cell r="E2721" t="str">
            <v>Chlordane, Total</v>
          </cell>
          <cell r="F2721" t="str">
            <v>12789-03-6</v>
          </cell>
        </row>
        <row r="2722">
          <cell r="E2722" t="str">
            <v>Chloroxuron</v>
          </cell>
          <cell r="F2722" t="str">
            <v>1982-47-4</v>
          </cell>
        </row>
        <row r="2723">
          <cell r="E2723" t="str">
            <v>Asbestos, Chrysotile</v>
          </cell>
          <cell r="F2723" t="str">
            <v>12001-29-5</v>
          </cell>
        </row>
        <row r="2724">
          <cell r="E2724" t="str">
            <v>Chloride</v>
          </cell>
          <cell r="F2724" t="str">
            <v>16887-00-6</v>
          </cell>
        </row>
        <row r="2725">
          <cell r="E2725" t="str">
            <v>Chloroacetonitrile</v>
          </cell>
          <cell r="F2725" t="str">
            <v>107-14-2</v>
          </cell>
        </row>
        <row r="2726">
          <cell r="E2726" t="str">
            <v>Chloramben</v>
          </cell>
          <cell r="F2726" t="str">
            <v>133-90-4</v>
          </cell>
        </row>
        <row r="2727">
          <cell r="E2727" t="str">
            <v>Chlorobenzene</v>
          </cell>
          <cell r="F2727" t="str">
            <v>108-90-7</v>
          </cell>
        </row>
        <row r="2728">
          <cell r="E2728" t="str">
            <v>Chlorobenzene-d5</v>
          </cell>
          <cell r="F2728" t="str">
            <v>3114-55-4</v>
          </cell>
        </row>
        <row r="2729">
          <cell r="E2729" t="str">
            <v>Chlorobenzilate</v>
          </cell>
          <cell r="F2729" t="str">
            <v>510-15-6</v>
          </cell>
        </row>
        <row r="2730">
          <cell r="E2730" t="str">
            <v>2-Chlorotoluene</v>
          </cell>
          <cell r="F2730" t="str">
            <v>95-49-8</v>
          </cell>
        </row>
        <row r="2731">
          <cell r="E2731" t="str">
            <v>4-Chlorotoluene</v>
          </cell>
          <cell r="F2731" t="str">
            <v>106-43-4</v>
          </cell>
        </row>
        <row r="2732">
          <cell r="E2732" t="str">
            <v>Chloroethane</v>
          </cell>
          <cell r="F2732" t="str">
            <v>75-00-3</v>
          </cell>
        </row>
        <row r="2733">
          <cell r="E2733" t="str">
            <v>Allyl chloride</v>
          </cell>
          <cell r="F2733" t="str">
            <v>107-05-1</v>
          </cell>
        </row>
        <row r="2734">
          <cell r="E2734" t="str">
            <v>2-Chlorophenol</v>
          </cell>
          <cell r="F2734" t="str">
            <v>95-57-8</v>
          </cell>
        </row>
        <row r="2735">
          <cell r="E2735" t="str">
            <v>Amenable Cyanide</v>
          </cell>
          <cell r="F2735" t="str">
            <v>57-12-5A</v>
          </cell>
        </row>
        <row r="2736">
          <cell r="E2736" t="str">
            <v>Cobalt-57</v>
          </cell>
          <cell r="F2736" t="str">
            <v>13981-50-5</v>
          </cell>
        </row>
        <row r="2737">
          <cell r="E2737" t="str">
            <v>Cobalt-58</v>
          </cell>
          <cell r="F2737" t="str">
            <v>13981-38-9</v>
          </cell>
        </row>
        <row r="2738">
          <cell r="E2738" t="str">
            <v>Cobalt-60</v>
          </cell>
          <cell r="F2738" t="str">
            <v>10198-40-0</v>
          </cell>
        </row>
        <row r="2739">
          <cell r="E2739" t="str">
            <v>Chemical Oxygen Demand</v>
          </cell>
          <cell r="F2739" t="str">
            <v>COD</v>
          </cell>
        </row>
        <row r="2740">
          <cell r="E2740" t="str">
            <v>Color</v>
          </cell>
          <cell r="F2740" t="str">
            <v>COLOR</v>
          </cell>
        </row>
        <row r="2741">
          <cell r="E2741" t="str">
            <v>Corrosivity Toward Steel</v>
          </cell>
          <cell r="F2741" t="str">
            <v>CORR</v>
          </cell>
        </row>
        <row r="2742">
          <cell r="E2742" t="str">
            <v>Carbonyl sulfide</v>
          </cell>
          <cell r="F2742" t="str">
            <v>463-58-1</v>
          </cell>
        </row>
        <row r="2743">
          <cell r="E2743" t="str">
            <v>Coumaphos</v>
          </cell>
          <cell r="F2743" t="str">
            <v>56-72-4</v>
          </cell>
        </row>
        <row r="2744">
          <cell r="E2744" t="str">
            <v>Asbestos, Crocidolite</v>
          </cell>
          <cell r="F2744" t="str">
            <v>12001-28-4</v>
          </cell>
        </row>
        <row r="2745">
          <cell r="E2745" t="str">
            <v>Cesium-134</v>
          </cell>
          <cell r="F2745" t="str">
            <v>13967-70-9</v>
          </cell>
        </row>
        <row r="2746">
          <cell r="E2746" t="str">
            <v>Cesium-137</v>
          </cell>
          <cell r="F2746" t="str">
            <v>10045-97-3</v>
          </cell>
        </row>
        <row r="2747">
          <cell r="E2747" t="str">
            <v>Carbon tetrachloride</v>
          </cell>
          <cell r="F2747" t="str">
            <v>56-23-5</v>
          </cell>
        </row>
        <row r="2748">
          <cell r="E2748" t="str">
            <v>Chlorotrifluoroethene</v>
          </cell>
          <cell r="F2748" t="str">
            <v>79-38-9</v>
          </cell>
        </row>
        <row r="2749">
          <cell r="E2749" t="str">
            <v>Copper</v>
          </cell>
          <cell r="F2749" t="str">
            <v>7440-50-8</v>
          </cell>
        </row>
        <row r="2750">
          <cell r="E2750" t="str">
            <v>Cycloate</v>
          </cell>
          <cell r="F2750" t="str">
            <v>1134-23-2</v>
          </cell>
        </row>
        <row r="2751">
          <cell r="E2751" t="str">
            <v>Cyclohexanone</v>
          </cell>
          <cell r="F2751" t="str">
            <v>108-94-1</v>
          </cell>
        </row>
        <row r="2752">
          <cell r="E2752" t="str">
            <v>Cyclohexanol</v>
          </cell>
          <cell r="F2752" t="str">
            <v>108-93-0</v>
          </cell>
        </row>
        <row r="2753">
          <cell r="E2753" t="str">
            <v>DCPA (Dacthal)</v>
          </cell>
          <cell r="F2753" t="str">
            <v>1861-32-1</v>
          </cell>
        </row>
        <row r="2754">
          <cell r="E2754" t="str">
            <v>Dibenzo(a,h)anthracene</v>
          </cell>
          <cell r="F2754" t="str">
            <v>53-70-3</v>
          </cell>
        </row>
        <row r="2755">
          <cell r="E2755" t="str">
            <v>3,3'-Dichlorobenzidine</v>
          </cell>
          <cell r="F2755" t="str">
            <v>91-94-1</v>
          </cell>
        </row>
        <row r="2756">
          <cell r="E2756" t="str">
            <v>cis-1,4-Dichloro-2-butene</v>
          </cell>
          <cell r="F2756" t="str">
            <v>1476-11-5</v>
          </cell>
        </row>
        <row r="2757">
          <cell r="E2757" t="str">
            <v>2,5-Dichlorophenol</v>
          </cell>
          <cell r="F2757" t="str">
            <v>583-78-8</v>
          </cell>
        </row>
        <row r="2758">
          <cell r="E2758" t="str">
            <v>2,2-Dichloropropane</v>
          </cell>
          <cell r="F2758" t="str">
            <v>594-20-7</v>
          </cell>
        </row>
        <row r="2759">
          <cell r="E2759" t="str">
            <v>4,4'-DDD</v>
          </cell>
          <cell r="F2759" t="str">
            <v>72-54-8</v>
          </cell>
        </row>
        <row r="2760">
          <cell r="E2760" t="str">
            <v>2,4'-DDE</v>
          </cell>
          <cell r="F2760" t="str">
            <v>3424-82-6</v>
          </cell>
        </row>
        <row r="2761">
          <cell r="E2761" t="str">
            <v>4,4'-DDE</v>
          </cell>
          <cell r="F2761" t="str">
            <v>72-55-9</v>
          </cell>
        </row>
        <row r="2762">
          <cell r="E2762" t="str">
            <v>2,4'-DDT</v>
          </cell>
          <cell r="F2762" t="str">
            <v>789-02-6</v>
          </cell>
        </row>
        <row r="2763">
          <cell r="E2763" t="str">
            <v>4,4'-DDT</v>
          </cell>
          <cell r="F2763" t="str">
            <v>50-29-3</v>
          </cell>
        </row>
        <row r="2764">
          <cell r="E2764" t="str">
            <v>Diethylamine</v>
          </cell>
          <cell r="F2764" t="str">
            <v>109-89-7</v>
          </cell>
        </row>
        <row r="2765">
          <cell r="E2765" t="str">
            <v>Diethyl phthalate</v>
          </cell>
          <cell r="F2765" t="str">
            <v>84-66-2</v>
          </cell>
        </row>
        <row r="2766">
          <cell r="E2766" t="str">
            <v>Diethylstilbestrol</v>
          </cell>
          <cell r="F2766" t="str">
            <v>56-53-1</v>
          </cell>
        </row>
        <row r="2767">
          <cell r="E2767" t="str">
            <v>Dimethoate</v>
          </cell>
          <cell r="F2767" t="str">
            <v>60-51-5</v>
          </cell>
        </row>
        <row r="2768">
          <cell r="E2768" t="str">
            <v>Dinoseb</v>
          </cell>
          <cell r="F2768" t="str">
            <v>88-85-7</v>
          </cell>
        </row>
        <row r="2769">
          <cell r="E2769" t="str">
            <v>7,12-Dimethylbenz(a)anthracene</v>
          </cell>
          <cell r="F2769" t="str">
            <v>57-97-6</v>
          </cell>
        </row>
        <row r="2770">
          <cell r="E2770" t="str">
            <v>2,5-Dimethyl benzaldehyde</v>
          </cell>
          <cell r="F2770" t="str">
            <v>5779-94-2</v>
          </cell>
        </row>
        <row r="2771">
          <cell r="E2771" t="str">
            <v>Dimethoxymethane</v>
          </cell>
          <cell r="F2771" t="str">
            <v>109-87-5</v>
          </cell>
        </row>
        <row r="2772">
          <cell r="E2772" t="str">
            <v>2,6-Dimethylphenol</v>
          </cell>
          <cell r="F2772" t="str">
            <v>576-26-1</v>
          </cell>
        </row>
        <row r="2773">
          <cell r="E2773" t="str">
            <v>Dimethyl phthalate</v>
          </cell>
          <cell r="F2773" t="str">
            <v>131-11-3</v>
          </cell>
        </row>
        <row r="2774">
          <cell r="E2774" t="str">
            <v>Dimethyl sulfide</v>
          </cell>
          <cell r="F2774" t="str">
            <v>75-18-3</v>
          </cell>
        </row>
        <row r="2775">
          <cell r="E2775" t="str">
            <v>Di-n-octyl phthalate</v>
          </cell>
          <cell r="F2775" t="str">
            <v>117-84-0</v>
          </cell>
        </row>
        <row r="2776">
          <cell r="E2776" t="str">
            <v>2,6-Dinitrotoluene</v>
          </cell>
          <cell r="F2776" t="str">
            <v>606-20-2</v>
          </cell>
        </row>
        <row r="2777">
          <cell r="E2777" t="str">
            <v>Diphenylamine</v>
          </cell>
          <cell r="F2777" t="str">
            <v>122-39-4</v>
          </cell>
        </row>
        <row r="2778">
          <cell r="E2778" t="str">
            <v>Diphenamide</v>
          </cell>
          <cell r="F2778" t="str">
            <v>957-51-7</v>
          </cell>
        </row>
        <row r="2779">
          <cell r="E2779" t="str">
            <v>4-Ethyltoluene</v>
          </cell>
          <cell r="F2779" t="str">
            <v>622-96-8</v>
          </cell>
        </row>
        <row r="2780">
          <cell r="E2780" t="str">
            <v>Diethyl ether</v>
          </cell>
          <cell r="F2780" t="str">
            <v>60-29-7</v>
          </cell>
        </row>
        <row r="2781">
          <cell r="E2781" t="str">
            <v>1-Hexanol, 2-ethyl-</v>
          </cell>
          <cell r="F2781" t="str">
            <v>104-76-7</v>
          </cell>
        </row>
        <row r="2782">
          <cell r="E2782" t="str">
            <v>Hexafluoro-2-propanol</v>
          </cell>
          <cell r="F2782" t="str">
            <v>920-66-1</v>
          </cell>
        </row>
        <row r="2783">
          <cell r="E2783" t="str">
            <v>2-Hexanone</v>
          </cell>
          <cell r="F2783" t="str">
            <v>591-78-6</v>
          </cell>
        </row>
        <row r="2784">
          <cell r="E2784" t="str">
            <v>5-Hydroxydicamba</v>
          </cell>
          <cell r="F2784" t="str">
            <v>7600-50-2</v>
          </cell>
        </row>
        <row r="2785">
          <cell r="E2785" t="str">
            <v>6-Methylchrysene</v>
          </cell>
          <cell r="F2785" t="str">
            <v>1705-85-7</v>
          </cell>
        </row>
        <row r="2786">
          <cell r="E2786" t="str">
            <v>4-Methylphenol (p-Cresol)</v>
          </cell>
          <cell r="F2786" t="str">
            <v>106-44-5</v>
          </cell>
        </row>
        <row r="2787">
          <cell r="E2787" t="str">
            <v>a,a-Dimethylphenethylamine</v>
          </cell>
          <cell r="F2787" t="str">
            <v>122-09-8</v>
          </cell>
        </row>
        <row r="2788">
          <cell r="E2788" t="str">
            <v>m-Phenylenediamine</v>
          </cell>
          <cell r="F2788" t="str">
            <v>108-45-2</v>
          </cell>
        </row>
        <row r="2789">
          <cell r="E2789" t="str">
            <v>2,4-Diaminotoluene</v>
          </cell>
          <cell r="F2789" t="str">
            <v>95-80-7</v>
          </cell>
        </row>
        <row r="2790">
          <cell r="E2790" t="str">
            <v>2-Methylnaphthalene</v>
          </cell>
          <cell r="F2790" t="str">
            <v>91-57-6</v>
          </cell>
        </row>
        <row r="2791">
          <cell r="E2791" t="str">
            <v>3-Nitrotoluene</v>
          </cell>
          <cell r="F2791" t="str">
            <v>99-08-1</v>
          </cell>
        </row>
        <row r="2792">
          <cell r="E2792" t="str">
            <v>Ammonia (un-ionized)</v>
          </cell>
          <cell r="F2792" t="str">
            <v>7664-41-7</v>
          </cell>
        </row>
        <row r="2793">
          <cell r="E2793" t="str">
            <v>Ammonium as Nitrogen</v>
          </cell>
          <cell r="F2793" t="str">
            <v>14798-03-9</v>
          </cell>
        </row>
        <row r="2794">
          <cell r="E2794" t="str">
            <v>N-N-Dimethylaniline</v>
          </cell>
          <cell r="F2794" t="str">
            <v>121-69-7</v>
          </cell>
        </row>
        <row r="2795">
          <cell r="E2795" t="str">
            <v>N,N-Dimethylformamide</v>
          </cell>
          <cell r="F2795" t="str">
            <v>68-12-2</v>
          </cell>
        </row>
        <row r="2796">
          <cell r="E2796" t="str">
            <v>Nonanal</v>
          </cell>
          <cell r="F2796" t="str">
            <v>124-19-6</v>
          </cell>
        </row>
        <row r="2797">
          <cell r="E2797" t="str">
            <v>2-Nitropropane</v>
          </cell>
          <cell r="F2797" t="str">
            <v>79-46-9</v>
          </cell>
        </row>
        <row r="2798">
          <cell r="E2798" t="str">
            <v>o-Phenylenediamine</v>
          </cell>
          <cell r="F2798" t="str">
            <v>95-54-5</v>
          </cell>
        </row>
        <row r="2799">
          <cell r="E2799" t="str">
            <v>PCB-1016  (Aroclor 1016)</v>
          </cell>
          <cell r="F2799" t="str">
            <v>12674-11-2</v>
          </cell>
        </row>
        <row r="2800">
          <cell r="E2800" t="str">
            <v>PCB-1221  (Aroclor 1221)</v>
          </cell>
          <cell r="F2800" t="str">
            <v>11104-28-2</v>
          </cell>
        </row>
        <row r="2801">
          <cell r="E2801" t="str">
            <v>PCB-1232  (Aroclor 1232)</v>
          </cell>
          <cell r="F2801" t="str">
            <v>11141-16-5</v>
          </cell>
        </row>
        <row r="2802">
          <cell r="E2802" t="str">
            <v>PCB-1242  (Aroclor 1242)</v>
          </cell>
          <cell r="F2802" t="str">
            <v>53469-21-9</v>
          </cell>
        </row>
        <row r="2803">
          <cell r="E2803" t="str">
            <v>PCB-1248  (Aroclor 1248)</v>
          </cell>
          <cell r="F2803" t="str">
            <v>12672-29-6</v>
          </cell>
        </row>
        <row r="2804">
          <cell r="E2804" t="str">
            <v>PCB-1254  (Aroclor 1254)</v>
          </cell>
          <cell r="F2804" t="str">
            <v>11097-69-1</v>
          </cell>
        </row>
        <row r="2805">
          <cell r="E2805" t="str">
            <v>PCB-1260  (Aroclor 1260)</v>
          </cell>
          <cell r="F2805" t="str">
            <v>11096-82-5</v>
          </cell>
        </row>
        <row r="2806">
          <cell r="E2806" t="str">
            <v>PCB-1262 (Aroclor 1262)</v>
          </cell>
          <cell r="F2806" t="str">
            <v>37324-23-5</v>
          </cell>
        </row>
        <row r="2807">
          <cell r="E2807" t="str">
            <v>PCB-1268 (Aroclor 1268)</v>
          </cell>
          <cell r="F2807" t="str">
            <v>11100-14-4</v>
          </cell>
        </row>
        <row r="2808">
          <cell r="E2808" t="str">
            <v>2,3,4,7,8-Pentachlorodibenzofuran</v>
          </cell>
          <cell r="F2808" t="str">
            <v>57117-31-4</v>
          </cell>
        </row>
        <row r="2809">
          <cell r="E2809" t="str">
            <v>2,4,6-Tribromophenol</v>
          </cell>
          <cell r="F2809" t="str">
            <v>118-79-6</v>
          </cell>
        </row>
        <row r="2810">
          <cell r="E2810" t="str">
            <v>2-Fluorophenol</v>
          </cell>
          <cell r="F2810" t="str">
            <v>367-12-4</v>
          </cell>
        </row>
        <row r="2811">
          <cell r="E2811" t="str">
            <v>2-Fluorobiphenyl</v>
          </cell>
          <cell r="F2811" t="str">
            <v>321-60-8</v>
          </cell>
        </row>
        <row r="2812">
          <cell r="E2812" t="str">
            <v>5,5-Diphenylhydantoin</v>
          </cell>
          <cell r="F2812" t="str">
            <v>57-41-0</v>
          </cell>
        </row>
        <row r="2813">
          <cell r="E2813" t="str">
            <v>2-Bromo-1-chloropropane</v>
          </cell>
          <cell r="F2813" t="str">
            <v>3017-95-6</v>
          </cell>
        </row>
        <row r="2814">
          <cell r="E2814" t="str">
            <v>n-Propanol</v>
          </cell>
          <cell r="F2814" t="str">
            <v>71-23-8</v>
          </cell>
        </row>
        <row r="2815">
          <cell r="E2815" t="str">
            <v>Antimony</v>
          </cell>
          <cell r="F2815" t="str">
            <v>7440-36-0</v>
          </cell>
        </row>
        <row r="2816">
          <cell r="E2816" t="str">
            <v>Antimony-124</v>
          </cell>
          <cell r="F2816" t="str">
            <v>14683-10-4</v>
          </cell>
        </row>
        <row r="2817">
          <cell r="E2817" t="str">
            <v>Antimony-125</v>
          </cell>
          <cell r="F2817" t="str">
            <v>14234-35-6</v>
          </cell>
        </row>
        <row r="2818">
          <cell r="E2818" t="str">
            <v>Carbaryl</v>
          </cell>
          <cell r="F2818" t="str">
            <v>63-25-2</v>
          </cell>
        </row>
        <row r="2819">
          <cell r="E2819" t="str">
            <v>Bolstar (Sulprofos)</v>
          </cell>
          <cell r="F2819" t="str">
            <v>35400-43-2</v>
          </cell>
        </row>
        <row r="2820">
          <cell r="E2820" t="str">
            <v>Bromoform</v>
          </cell>
          <cell r="F2820" t="str">
            <v>75-25-2</v>
          </cell>
        </row>
        <row r="2821">
          <cell r="E2821" t="str">
            <v>2,3,7,8-Tetrachlorodibenzo-p-dioxin</v>
          </cell>
          <cell r="F2821" t="str">
            <v>1746-01-6</v>
          </cell>
        </row>
        <row r="2822">
          <cell r="E2822" t="str">
            <v>2,3,7,8-Tetrachlorodibenzofuran</v>
          </cell>
          <cell r="F2822" t="str">
            <v>51207-31-9</v>
          </cell>
        </row>
        <row r="2823">
          <cell r="E2823" t="str">
            <v>Chloroform</v>
          </cell>
          <cell r="F2823" t="str">
            <v>67-66-3</v>
          </cell>
        </row>
        <row r="2824">
          <cell r="E2824" t="str">
            <v>2,4,6-Trichlorophenol</v>
          </cell>
          <cell r="F2824" t="str">
            <v>88-06-2</v>
          </cell>
        </row>
        <row r="2825">
          <cell r="E2825" t="str">
            <v>5-Nitro-o-toluidine</v>
          </cell>
          <cell r="F2825" t="str">
            <v>99-55-8</v>
          </cell>
        </row>
        <row r="2826">
          <cell r="E2826" t="str">
            <v>Total Chlorine</v>
          </cell>
          <cell r="F2826" t="str">
            <v>7782-50-5</v>
          </cell>
        </row>
        <row r="2827">
          <cell r="E2827" t="str">
            <v>Asbestos, Tremolite</v>
          </cell>
          <cell r="F2827" t="str">
            <v>77536-68-6</v>
          </cell>
        </row>
        <row r="2828">
          <cell r="E2828" t="str">
            <v>Chrysene</v>
          </cell>
          <cell r="F2828" t="str">
            <v>218-01-9</v>
          </cell>
        </row>
        <row r="2829">
          <cell r="E2829" t="str">
            <v>cis-1,2-Dichloroethene</v>
          </cell>
          <cell r="F2829" t="str">
            <v>156-59-2</v>
          </cell>
        </row>
        <row r="2830">
          <cell r="E2830" t="str">
            <v>Chlorpyrifos</v>
          </cell>
          <cell r="F2830" t="str">
            <v>2921-88-2</v>
          </cell>
        </row>
        <row r="2831">
          <cell r="E2831" t="str">
            <v>Chromium III</v>
          </cell>
          <cell r="F2831" t="str">
            <v>16065-83-1</v>
          </cell>
        </row>
        <row r="2832">
          <cell r="E2832" t="str">
            <v>Chromium, Hexavalent</v>
          </cell>
          <cell r="F2832" t="str">
            <v>18540-29-9</v>
          </cell>
        </row>
        <row r="2833">
          <cell r="E2833" t="str">
            <v>Chromium-51</v>
          </cell>
          <cell r="F2833" t="str">
            <v>14392-02-0</v>
          </cell>
        </row>
        <row r="2834">
          <cell r="E2834" t="str">
            <v>Chromium</v>
          </cell>
          <cell r="F2834" t="str">
            <v>7440-47-3</v>
          </cell>
        </row>
        <row r="2835">
          <cell r="E2835" t="str">
            <v>cis-1,3-Dichloropropene</v>
          </cell>
          <cell r="F2835" t="str">
            <v>10061-01-5</v>
          </cell>
        </row>
        <row r="2836">
          <cell r="E2836" t="str">
            <v>Chloropyrifos methyl</v>
          </cell>
          <cell r="F2836" t="str">
            <v>5598-13-0</v>
          </cell>
        </row>
        <row r="2837">
          <cell r="E2837" t="str">
            <v>Beta, Gross</v>
          </cell>
          <cell r="F2837" t="str">
            <v>12587-47-2</v>
          </cell>
        </row>
        <row r="2838">
          <cell r="E2838" t="str">
            <v>Alpha, Gross</v>
          </cell>
          <cell r="F2838" t="str">
            <v>12587-46-1</v>
          </cell>
        </row>
        <row r="2839">
          <cell r="E2839" t="str">
            <v>Butane</v>
          </cell>
          <cell r="F2839" t="str">
            <v>106-97-8</v>
          </cell>
        </row>
        <row r="2840">
          <cell r="E2840" t="str">
            <v>Bis(chloromethyl) ether</v>
          </cell>
          <cell r="F2840" t="str">
            <v>542-88-1</v>
          </cell>
        </row>
        <row r="2841">
          <cell r="E2841" t="str">
            <v>2,4,5-T</v>
          </cell>
          <cell r="F2841" t="str">
            <v>93-76-5</v>
          </cell>
        </row>
        <row r="2842">
          <cell r="E2842" t="str">
            <v>Total Extractable Petroleum Hydrocarbons (EPH)</v>
          </cell>
          <cell r="F2842" t="str">
            <v>TPH-EXT</v>
          </cell>
        </row>
        <row r="2843">
          <cell r="E2843" t="str">
            <v>Dimethylamine</v>
          </cell>
          <cell r="F2843" t="str">
            <v>124-40-3</v>
          </cell>
        </row>
        <row r="2844">
          <cell r="E2844" t="str">
            <v>Diethyl sulfate</v>
          </cell>
          <cell r="F2844" t="str">
            <v>64-67-5</v>
          </cell>
        </row>
        <row r="2845">
          <cell r="E2845" t="str">
            <v>Diethyl sulfide</v>
          </cell>
          <cell r="F2845" t="str">
            <v>352-93-2</v>
          </cell>
        </row>
        <row r="2846">
          <cell r="E2846" t="str">
            <v>Diethylene glycol</v>
          </cell>
          <cell r="F2846" t="str">
            <v>111-46-6</v>
          </cell>
        </row>
        <row r="2847">
          <cell r="E2847" t="str">
            <v>Diazinon</v>
          </cell>
          <cell r="F2847" t="str">
            <v>333-41-5</v>
          </cell>
        </row>
        <row r="2848">
          <cell r="E2848" t="str">
            <v>Dibenz(a,h)acridine</v>
          </cell>
          <cell r="F2848" t="str">
            <v>226-36-8</v>
          </cell>
        </row>
        <row r="2849">
          <cell r="E2849" t="str">
            <v>Dibenz(a,j)acridine</v>
          </cell>
          <cell r="F2849" t="str">
            <v>224-42-0</v>
          </cell>
        </row>
        <row r="2850">
          <cell r="E2850" t="str">
            <v>Dibenzo(a,e)pyrene</v>
          </cell>
          <cell r="F2850" t="str">
            <v>192-65-4</v>
          </cell>
        </row>
        <row r="2851">
          <cell r="E2851" t="str">
            <v>Dibenzo(a,h)pyrene</v>
          </cell>
          <cell r="F2851" t="str">
            <v>189-64-0</v>
          </cell>
        </row>
        <row r="2852">
          <cell r="E2852" t="str">
            <v>Dibenzo(a,i)pyrene</v>
          </cell>
          <cell r="F2852" t="str">
            <v>189-55-9</v>
          </cell>
        </row>
        <row r="2853">
          <cell r="E2853" t="str">
            <v>Diallate (cis- or trans-)</v>
          </cell>
          <cell r="F2853" t="str">
            <v>2303-16-4</v>
          </cell>
        </row>
        <row r="2854">
          <cell r="E2854" t="str">
            <v>Demeton-O</v>
          </cell>
          <cell r="F2854" t="str">
            <v>298-03-3</v>
          </cell>
        </row>
        <row r="2855">
          <cell r="E2855" t="str">
            <v>Demeton-S</v>
          </cell>
          <cell r="F2855" t="str">
            <v>126-75-0</v>
          </cell>
        </row>
        <row r="2856">
          <cell r="E2856" t="str">
            <v>delta-BHC</v>
          </cell>
          <cell r="F2856" t="str">
            <v>319-86-8</v>
          </cell>
        </row>
        <row r="2857">
          <cell r="E2857" t="str">
            <v>Demeton, -O and -S</v>
          </cell>
          <cell r="F2857" t="str">
            <v>8065-48-3</v>
          </cell>
        </row>
        <row r="2858">
          <cell r="E2858" t="str">
            <v>Decane</v>
          </cell>
          <cell r="F2858" t="str">
            <v>124-18-5</v>
          </cell>
        </row>
        <row r="2859">
          <cell r="E2859" t="str">
            <v>Dalapon</v>
          </cell>
          <cell r="F2859" t="str">
            <v>75-99-0</v>
          </cell>
        </row>
        <row r="2860">
          <cell r="E2860" t="str">
            <v>4-Isopropyltoluene</v>
          </cell>
          <cell r="F2860" t="str">
            <v>25155-15-1</v>
          </cell>
        </row>
        <row r="2861">
          <cell r="E2861" t="str">
            <v>4-Chlorophenyl phenyl ether</v>
          </cell>
          <cell r="F2861" t="str">
            <v>7005-72-3</v>
          </cell>
        </row>
        <row r="2862">
          <cell r="E2862" t="str">
            <v>Dinocap</v>
          </cell>
          <cell r="F2862" t="str">
            <v>39300-45-3</v>
          </cell>
        </row>
        <row r="2863">
          <cell r="E2863" t="str">
            <v>Di-n-butyl phthalate</v>
          </cell>
          <cell r="F2863" t="str">
            <v>84-74-2</v>
          </cell>
        </row>
        <row r="2864">
          <cell r="E2864" t="str">
            <v>Cyclohexane</v>
          </cell>
          <cell r="F2864" t="str">
            <v>110-82-7</v>
          </cell>
        </row>
        <row r="2865">
          <cell r="E2865" t="str">
            <v>Cyanide</v>
          </cell>
          <cell r="F2865" t="str">
            <v>57-12-5</v>
          </cell>
        </row>
        <row r="2866">
          <cell r="E2866" t="str">
            <v>Cresols (Methyl Phenols)</v>
          </cell>
          <cell r="F2866" t="str">
            <v>1319-77-3</v>
          </cell>
        </row>
        <row r="2867">
          <cell r="E2867" t="str">
            <v>Cobalt</v>
          </cell>
          <cell r="F2867" t="str">
            <v>7440-48-4</v>
          </cell>
        </row>
        <row r="2868">
          <cell r="E2868" t="str">
            <v>Chlordane</v>
          </cell>
          <cell r="F2868" t="str">
            <v>57-74-9</v>
          </cell>
        </row>
        <row r="2869">
          <cell r="E2869" t="str">
            <v>Chlorate</v>
          </cell>
          <cell r="F2869" t="str">
            <v>7790-93-4</v>
          </cell>
        </row>
        <row r="2870">
          <cell r="E2870" t="str">
            <v>Chlorfenvinphos</v>
          </cell>
          <cell r="F2870" t="str">
            <v>470-90-6</v>
          </cell>
        </row>
        <row r="2871">
          <cell r="E2871" t="str">
            <v>Chlorotoluene</v>
          </cell>
          <cell r="F2871" t="str">
            <v>25168-05-2</v>
          </cell>
        </row>
        <row r="2872">
          <cell r="E2872" t="str">
            <v>Chloropropham</v>
          </cell>
          <cell r="F2872" t="str">
            <v>101-21-3</v>
          </cell>
        </row>
        <row r="2873">
          <cell r="E2873" t="str">
            <v>Chloromethyl methyl ether</v>
          </cell>
          <cell r="F2873" t="str">
            <v>107-30-2</v>
          </cell>
        </row>
        <row r="2874">
          <cell r="E2874" t="str">
            <v>Chloromethane</v>
          </cell>
          <cell r="F2874" t="str">
            <v>74-87-3</v>
          </cell>
        </row>
        <row r="2875">
          <cell r="E2875" t="str">
            <v>Carbonate Alkalinity as CACO3</v>
          </cell>
          <cell r="F2875" t="str">
            <v>3812-32-6</v>
          </cell>
        </row>
        <row r="2876">
          <cell r="E2876" t="str">
            <v>Carbon dioxide</v>
          </cell>
          <cell r="F2876" t="str">
            <v>124-38-9</v>
          </cell>
        </row>
        <row r="2877">
          <cell r="E2877" t="str">
            <v>Carbon monoxide</v>
          </cell>
          <cell r="F2877" t="str">
            <v>630-08-0</v>
          </cell>
        </row>
        <row r="2878">
          <cell r="E2878" t="str">
            <v>Carbofuran</v>
          </cell>
          <cell r="F2878" t="str">
            <v>1563-66-2</v>
          </cell>
        </row>
        <row r="2879">
          <cell r="E2879" t="str">
            <v>Cadmium</v>
          </cell>
          <cell r="F2879" t="str">
            <v>7440-43-9</v>
          </cell>
        </row>
        <row r="2880">
          <cell r="E2880" t="str">
            <v>Butyl acetate</v>
          </cell>
          <cell r="F2880" t="str">
            <v>123-86-4</v>
          </cell>
        </row>
        <row r="2881">
          <cell r="E2881" t="str">
            <v>Butyl acrylate</v>
          </cell>
          <cell r="F2881" t="str">
            <v>141-32-2</v>
          </cell>
        </row>
        <row r="2882">
          <cell r="E2882" t="str">
            <v>Butylamine</v>
          </cell>
          <cell r="F2882" t="str">
            <v>109-73-9</v>
          </cell>
        </row>
        <row r="2883">
          <cell r="E2883" t="str">
            <v>Bromobenzene</v>
          </cell>
          <cell r="F2883" t="str">
            <v>108-86-1</v>
          </cell>
        </row>
        <row r="2884">
          <cell r="E2884" t="str">
            <v>Bromoacetone</v>
          </cell>
          <cell r="F2884" t="str">
            <v>598-31-2</v>
          </cell>
        </row>
        <row r="2885">
          <cell r="E2885" t="str">
            <v>bis-(2-Chloroethoxy)methane</v>
          </cell>
          <cell r="F2885" t="str">
            <v>111-91-1</v>
          </cell>
        </row>
        <row r="2886">
          <cell r="E2886" t="str">
            <v>bis-(2-Chloroethyl)ether</v>
          </cell>
          <cell r="F2886" t="str">
            <v>111-44-4</v>
          </cell>
        </row>
        <row r="2887">
          <cell r="E2887" t="str">
            <v>bis-(2-Ethylhexyl)phthalate</v>
          </cell>
          <cell r="F2887" t="str">
            <v>117-81-7</v>
          </cell>
        </row>
        <row r="2888">
          <cell r="E2888" t="str">
            <v>bis(2-Ethylhexyl)adipate</v>
          </cell>
          <cell r="F2888" t="str">
            <v>103-23-1</v>
          </cell>
        </row>
        <row r="2889">
          <cell r="E2889" t="str">
            <v>Biologic Oxygen Demand</v>
          </cell>
          <cell r="F2889" t="str">
            <v>BOD</v>
          </cell>
        </row>
        <row r="2890">
          <cell r="E2890" t="str">
            <v>Bicarbonate Alkalinity as CACO3</v>
          </cell>
          <cell r="F2890" t="str">
            <v>71-52-3</v>
          </cell>
        </row>
        <row r="2891">
          <cell r="E2891" t="str">
            <v>Benzene</v>
          </cell>
          <cell r="F2891" t="str">
            <v>71-43-2</v>
          </cell>
        </row>
        <row r="2892">
          <cell r="E2892" t="str">
            <v>alpha-Chlorotoluene</v>
          </cell>
          <cell r="F2892" t="str">
            <v>100-44-7</v>
          </cell>
        </row>
        <row r="2893">
          <cell r="E2893" t="str">
            <v>Anthracene</v>
          </cell>
          <cell r="F2893" t="str">
            <v>120-12-7</v>
          </cell>
        </row>
        <row r="2894">
          <cell r="E2894" t="str">
            <v>Asbestos, Anthophyllite</v>
          </cell>
          <cell r="F2894" t="str">
            <v>77536-67-5</v>
          </cell>
        </row>
        <row r="2895">
          <cell r="E2895" t="str">
            <v>7H-Dibenzo(c,g)carbazole</v>
          </cell>
          <cell r="F2895" t="str">
            <v>194-59-2</v>
          </cell>
        </row>
        <row r="2896">
          <cell r="E2896" t="str">
            <v>5-Nitro-o-anisidine</v>
          </cell>
          <cell r="F2896" t="str">
            <v>99-59-2</v>
          </cell>
        </row>
        <row r="2897">
          <cell r="E2897" t="str">
            <v>5-Nitroacenaphthene</v>
          </cell>
          <cell r="F2897" t="str">
            <v>602-87-9</v>
          </cell>
        </row>
        <row r="2898">
          <cell r="E2898" t="str">
            <v>4-Nitrotoluene</v>
          </cell>
          <cell r="F2898" t="str">
            <v>99-99-0</v>
          </cell>
        </row>
        <row r="2899">
          <cell r="E2899" t="str">
            <v>4-Nitrophenol</v>
          </cell>
          <cell r="F2899" t="str">
            <v>100-02-7</v>
          </cell>
        </row>
        <row r="2900">
          <cell r="E2900" t="str">
            <v>4-Nitroaniline</v>
          </cell>
          <cell r="F2900" t="str">
            <v>100-01-6</v>
          </cell>
        </row>
        <row r="2901">
          <cell r="E2901" t="str">
            <v>4-Nitrobiphenyl</v>
          </cell>
          <cell r="F2901" t="str">
            <v>92-93-3</v>
          </cell>
        </row>
        <row r="2902">
          <cell r="E2902" t="str">
            <v>4-Methyl-2-pentanone</v>
          </cell>
          <cell r="F2902" t="str">
            <v>108-10-1</v>
          </cell>
        </row>
        <row r="2903">
          <cell r="E2903" t="str">
            <v>4-Chloroaniline</v>
          </cell>
          <cell r="F2903" t="str">
            <v>106-47-8</v>
          </cell>
        </row>
        <row r="2904">
          <cell r="E2904" t="str">
            <v>4-Chloro-2-methylphenol</v>
          </cell>
          <cell r="F2904" t="str">
            <v>1570-64-5</v>
          </cell>
        </row>
        <row r="2905">
          <cell r="E2905" t="str">
            <v>4-Bromophenyl phenyl ether</v>
          </cell>
          <cell r="F2905" t="str">
            <v>101-55-3</v>
          </cell>
        </row>
        <row r="2906">
          <cell r="E2906" t="str">
            <v>4-Bromofluorobenzene</v>
          </cell>
          <cell r="F2906" t="str">
            <v>460-00-4</v>
          </cell>
        </row>
        <row r="2907">
          <cell r="E2907" t="str">
            <v>4-Amino-2,6-dinitrotoluene</v>
          </cell>
          <cell r="F2907" t="str">
            <v>19406-51-0</v>
          </cell>
        </row>
        <row r="2908">
          <cell r="E2908" t="str">
            <v>4,4'-Oxydianiline</v>
          </cell>
          <cell r="F2908" t="str">
            <v>101-80-4</v>
          </cell>
        </row>
        <row r="2909">
          <cell r="E2909" t="str">
            <v>4,4'-Methylenebis(2-chloraniline)</v>
          </cell>
          <cell r="F2909" t="str">
            <v>101-14-4</v>
          </cell>
        </row>
        <row r="2910">
          <cell r="E2910" t="str">
            <v>3-Methylphenol</v>
          </cell>
          <cell r="F2910" t="str">
            <v>108-39-4</v>
          </cell>
        </row>
        <row r="2911">
          <cell r="E2911" t="str">
            <v>3-Nitroaniline</v>
          </cell>
          <cell r="F2911" t="str">
            <v>99-09-2</v>
          </cell>
        </row>
        <row r="2912">
          <cell r="E2912" t="str">
            <v>3-Methylcholanthrene</v>
          </cell>
          <cell r="F2912" t="str">
            <v>56-49-5</v>
          </cell>
        </row>
        <row r="2913">
          <cell r="E2913" t="str">
            <v>3-Hydroxycarbofuran</v>
          </cell>
          <cell r="F2913" t="str">
            <v>16655-82-6</v>
          </cell>
        </row>
        <row r="2914">
          <cell r="E2914" t="str">
            <v>3-Chlorophenol</v>
          </cell>
          <cell r="F2914" t="str">
            <v>108-43-0</v>
          </cell>
        </row>
        <row r="2915">
          <cell r="E2915" t="str">
            <v>3-Chloropropionitrile</v>
          </cell>
          <cell r="F2915" t="str">
            <v>542-76-7</v>
          </cell>
        </row>
        <row r="2916">
          <cell r="E2916" t="str">
            <v>3,5-Dichlorobenzoic acid</v>
          </cell>
          <cell r="F2916" t="str">
            <v>51-36-5</v>
          </cell>
        </row>
        <row r="2917">
          <cell r="E2917" t="str">
            <v>3,4-Dinitrotoluene</v>
          </cell>
          <cell r="F2917" t="str">
            <v>610-39-9</v>
          </cell>
        </row>
        <row r="2918">
          <cell r="E2918" t="str">
            <v>3,4-Dichlorophenol</v>
          </cell>
          <cell r="F2918" t="str">
            <v>95-77-2</v>
          </cell>
        </row>
        <row r="2919">
          <cell r="E2919" t="str">
            <v>3,4-Dimethylphenol</v>
          </cell>
          <cell r="F2919" t="str">
            <v>95-65-8</v>
          </cell>
        </row>
        <row r="2920">
          <cell r="E2920" t="str">
            <v>3-Methylphenol/4-Methylphenol Coelution</v>
          </cell>
          <cell r="F2920" t="str">
            <v>3METH4METH</v>
          </cell>
        </row>
        <row r="2921">
          <cell r="E2921" t="str">
            <v>3,5-Dichloroaniline</v>
          </cell>
          <cell r="F2921" t="str">
            <v>618-87-1</v>
          </cell>
        </row>
        <row r="2922">
          <cell r="E2922" t="str">
            <v>2-Propanol</v>
          </cell>
          <cell r="F2922" t="str">
            <v>67-63-0</v>
          </cell>
        </row>
        <row r="2923">
          <cell r="E2923" t="str">
            <v>2-Picoline</v>
          </cell>
          <cell r="F2923" t="str">
            <v>109-06-8</v>
          </cell>
        </row>
        <row r="2924">
          <cell r="E2924" t="str">
            <v>2-Nitrophenol</v>
          </cell>
          <cell r="F2924" t="str">
            <v>88-75-5</v>
          </cell>
        </row>
        <row r="2925">
          <cell r="E2925" t="str">
            <v>2-Nitrotoluene</v>
          </cell>
          <cell r="F2925" t="str">
            <v>88-72-2</v>
          </cell>
        </row>
        <row r="2926">
          <cell r="E2926" t="str">
            <v>o-Nitrotoluene</v>
          </cell>
          <cell r="F2926" t="str">
            <v>88-72-2</v>
          </cell>
        </row>
        <row r="2927">
          <cell r="E2927" t="str">
            <v>2-Nitroaniline</v>
          </cell>
          <cell r="F2927" t="str">
            <v>88-74-4</v>
          </cell>
        </row>
        <row r="2928">
          <cell r="E2928" t="str">
            <v>2-Methylphenol (o-Cresol)</v>
          </cell>
          <cell r="F2928" t="str">
            <v>95-48-7</v>
          </cell>
        </row>
        <row r="2929">
          <cell r="E2929" t="str">
            <v>2-Methylbutane</v>
          </cell>
          <cell r="F2929" t="str">
            <v>78-78-4</v>
          </cell>
        </row>
        <row r="2930">
          <cell r="E2930" t="str">
            <v>2-Methoxyethanol</v>
          </cell>
          <cell r="F2930" t="str">
            <v>109-86-4</v>
          </cell>
        </row>
        <row r="2931">
          <cell r="E2931" t="str">
            <v>2-Butanol</v>
          </cell>
          <cell r="F2931" t="str">
            <v>78-92-2</v>
          </cell>
        </row>
        <row r="2932">
          <cell r="E2932" t="str">
            <v>2-Butanone</v>
          </cell>
          <cell r="F2932" t="str">
            <v>78-93-3</v>
          </cell>
        </row>
        <row r="2933">
          <cell r="E2933" t="str">
            <v>2-Chloronaphthalene</v>
          </cell>
          <cell r="F2933" t="str">
            <v>91-58-7</v>
          </cell>
        </row>
        <row r="2934">
          <cell r="E2934" t="str">
            <v>2,6-Dimethylnaphthalene</v>
          </cell>
          <cell r="F2934" t="str">
            <v>581-42-0</v>
          </cell>
        </row>
        <row r="2935">
          <cell r="E2935" t="str">
            <v>2,4-Dinitrotoluene</v>
          </cell>
          <cell r="F2935" t="str">
            <v>121-14-2</v>
          </cell>
        </row>
        <row r="2936">
          <cell r="E2936" t="str">
            <v>2,4-Dimethylphenol</v>
          </cell>
          <cell r="F2936" t="str">
            <v>105-67-9</v>
          </cell>
        </row>
        <row r="2937">
          <cell r="E2937" t="str">
            <v>2,4-Dinitrophenol</v>
          </cell>
          <cell r="F2937" t="str">
            <v>51-28-5</v>
          </cell>
        </row>
        <row r="2938">
          <cell r="E2938" t="str">
            <v>2,6-Dichlorophenol</v>
          </cell>
          <cell r="F2938" t="str">
            <v>87-65-0</v>
          </cell>
        </row>
        <row r="2939">
          <cell r="E2939" t="str">
            <v>2,4-Dichlorophenol</v>
          </cell>
          <cell r="F2939" t="str">
            <v>120-83-2</v>
          </cell>
        </row>
        <row r="2940">
          <cell r="E2940" t="str">
            <v>2,4-D</v>
          </cell>
          <cell r="F2940" t="str">
            <v>94-75-7</v>
          </cell>
        </row>
        <row r="2941">
          <cell r="E2941" t="str">
            <v>2,4-DB</v>
          </cell>
          <cell r="F2941" t="str">
            <v>94-82-6</v>
          </cell>
        </row>
        <row r="2942">
          <cell r="E2942" t="str">
            <v>2,4'-DDD</v>
          </cell>
          <cell r="F2942" t="str">
            <v>53-19-0</v>
          </cell>
        </row>
        <row r="2943">
          <cell r="E2943" t="str">
            <v>2,4-Dichlorophenylacetic acid</v>
          </cell>
          <cell r="F2943" t="str">
            <v>19719-28-9</v>
          </cell>
        </row>
        <row r="2944">
          <cell r="E2944" t="str">
            <v>2,4,5-Trimethylaniline</v>
          </cell>
          <cell r="F2944" t="str">
            <v>137-17-7</v>
          </cell>
        </row>
        <row r="2945">
          <cell r="E2945" t="str">
            <v>2,4,5-Trichlorophenol</v>
          </cell>
          <cell r="F2945" t="str">
            <v>95-95-4</v>
          </cell>
        </row>
        <row r="2946">
          <cell r="E2946" t="str">
            <v>2,3,4,6,7,8-Hexachlorodibenzofuran</v>
          </cell>
          <cell r="F2946" t="str">
            <v>60851-34-5</v>
          </cell>
        </row>
        <row r="2947">
          <cell r="E2947" t="str">
            <v>2,3,3',4,4',5,5'-Heptachlorobiphenyl</v>
          </cell>
          <cell r="F2947" t="str">
            <v>39635-31-9</v>
          </cell>
        </row>
        <row r="2948">
          <cell r="E2948" t="str">
            <v>2,3,3',4,4',5'-Hexachlorobiphenyl</v>
          </cell>
          <cell r="F2948" t="str">
            <v>69782-90-7</v>
          </cell>
        </row>
        <row r="2949">
          <cell r="E2949" t="str">
            <v>2,3,3',4,4',5-Hexachlorobiphenyl</v>
          </cell>
          <cell r="F2949" t="str">
            <v>38380-08-4</v>
          </cell>
        </row>
        <row r="2950">
          <cell r="E2950" t="str">
            <v>2,3,3',4,4',6-Hexachlorobiphenyl</v>
          </cell>
          <cell r="F2950" t="str">
            <v>74472-42-7</v>
          </cell>
        </row>
        <row r="2951">
          <cell r="E2951" t="str">
            <v>2,3,3',4,4'-Pentachlorobiphenyl</v>
          </cell>
          <cell r="F2951" t="str">
            <v>32598-14-4</v>
          </cell>
        </row>
        <row r="2952">
          <cell r="E2952" t="str">
            <v>2,3,3',4',6-Pentachlorobiphenyl</v>
          </cell>
          <cell r="F2952" t="str">
            <v>38380-03-9</v>
          </cell>
        </row>
        <row r="2953">
          <cell r="E2953" t="str">
            <v>2,3,3',4'-Tetrachlorobiphenyl</v>
          </cell>
          <cell r="F2953" t="str">
            <v>41464-43-1</v>
          </cell>
        </row>
        <row r="2954">
          <cell r="E2954" t="str">
            <v>2,3,3'-Trichlorobiphenyl</v>
          </cell>
          <cell r="F2954" t="str">
            <v>38444-84-7</v>
          </cell>
        </row>
        <row r="2955">
          <cell r="E2955" t="str">
            <v>2,3',4,4',5,5'-Hexachlorobiphenyl</v>
          </cell>
          <cell r="F2955" t="str">
            <v>52663-72-6</v>
          </cell>
        </row>
        <row r="2956">
          <cell r="E2956" t="str">
            <v>2,3,4,4',5,6-Hexachlorobiphenyl</v>
          </cell>
          <cell r="F2956" t="str">
            <v>41411-63-6</v>
          </cell>
        </row>
        <row r="2957">
          <cell r="E2957" t="str">
            <v>2,3,4,4',5-Pentachlorobiphenyl</v>
          </cell>
          <cell r="F2957" t="str">
            <v>74472-37-0</v>
          </cell>
        </row>
        <row r="2958">
          <cell r="E2958" t="str">
            <v>2',3,4,4',5-Pentachlorobiphenyl</v>
          </cell>
          <cell r="F2958" t="str">
            <v>65510-44-3</v>
          </cell>
        </row>
        <row r="2959">
          <cell r="E2959" t="str">
            <v>2,3',4,4',5-Pentachlorobiphenyl</v>
          </cell>
          <cell r="F2959" t="str">
            <v>31508-00-6</v>
          </cell>
        </row>
        <row r="2960">
          <cell r="E2960" t="str">
            <v>2,3,4,4'-Tetrachlorobiphenyl</v>
          </cell>
          <cell r="F2960" t="str">
            <v>33025-41-1</v>
          </cell>
        </row>
        <row r="2961">
          <cell r="E2961" t="str">
            <v>2,3',4,4'-Tetrachlorobiphenyl</v>
          </cell>
          <cell r="F2961" t="str">
            <v>32598-10-0</v>
          </cell>
        </row>
        <row r="2962">
          <cell r="E2962" t="str">
            <v>2,3',4',5-Tetrachlorobiphenyl</v>
          </cell>
          <cell r="F2962" t="str">
            <v>32598-11-1</v>
          </cell>
        </row>
        <row r="2963">
          <cell r="E2963" t="str">
            <v>2,3,4-Trichlorobiphenyl</v>
          </cell>
          <cell r="F2963" t="str">
            <v>55702-46-0</v>
          </cell>
        </row>
        <row r="2964">
          <cell r="E2964" t="str">
            <v>2',3,4-Trichlorobiphenyl</v>
          </cell>
          <cell r="F2964" t="str">
            <v>38444-86-9</v>
          </cell>
        </row>
        <row r="2965">
          <cell r="E2965" t="str">
            <v>2,3',4-Trichlorobiphenyl</v>
          </cell>
          <cell r="F2965" t="str">
            <v>55712-37-3</v>
          </cell>
        </row>
        <row r="2966">
          <cell r="E2966" t="str">
            <v>2,3,4'-Trichlorobiphenyl</v>
          </cell>
          <cell r="F2966" t="str">
            <v>38444-85-8</v>
          </cell>
        </row>
        <row r="2967">
          <cell r="E2967" t="str">
            <v>2,3',5'-Trichlorobiphenyl</v>
          </cell>
          <cell r="F2967" t="str">
            <v>37680-68-5</v>
          </cell>
        </row>
        <row r="2968">
          <cell r="E2968" t="str">
            <v>2,3',5-Trichlorobiphenyl</v>
          </cell>
          <cell r="F2968" t="str">
            <v>38444-81-4</v>
          </cell>
        </row>
        <row r="2969">
          <cell r="E2969" t="str">
            <v>2,3,6-Trichlorobiphenyl</v>
          </cell>
          <cell r="F2969" t="str">
            <v>55702-45-9</v>
          </cell>
        </row>
        <row r="2970">
          <cell r="E2970" t="str">
            <v>2,3',6-Trichlorobiphenyl</v>
          </cell>
          <cell r="F2970" t="str">
            <v>38444-76-7</v>
          </cell>
        </row>
        <row r="2971">
          <cell r="E2971" t="str">
            <v>2,2',5-Trichlorobiphenyl</v>
          </cell>
          <cell r="F2971" t="str">
            <v>37680-65-2</v>
          </cell>
        </row>
        <row r="2972">
          <cell r="E2972" t="str">
            <v>2,2',5,5'-Tetrachlorobiphenyl</v>
          </cell>
          <cell r="F2972" t="str">
            <v>35693-99-3</v>
          </cell>
        </row>
        <row r="2973">
          <cell r="E2973" t="str">
            <v>2,2',4,5'-Tetrachlorobiphenyl</v>
          </cell>
          <cell r="F2973" t="str">
            <v>41464-40-8</v>
          </cell>
        </row>
        <row r="2974">
          <cell r="E2974" t="str">
            <v>2,2',3,3',4,4',5,5',6-Nonachlorobiphenyl</v>
          </cell>
          <cell r="F2974" t="str">
            <v>40186-72-9</v>
          </cell>
        </row>
        <row r="2975">
          <cell r="E2975" t="str">
            <v>2,2',3,3',4,4',5,5'-Octachlorobiphenyl</v>
          </cell>
          <cell r="F2975" t="str">
            <v>35694-08-7</v>
          </cell>
        </row>
        <row r="2976">
          <cell r="E2976" t="str">
            <v>2,2',3,3',4,4',5,6-Octachlorobiphenyl</v>
          </cell>
          <cell r="F2976" t="str">
            <v>52663-78-2</v>
          </cell>
        </row>
        <row r="2977">
          <cell r="E2977" t="str">
            <v>2,2',3,3',4,4',5-Heptachlorobiphenyl</v>
          </cell>
          <cell r="F2977" t="str">
            <v>35065-30-6</v>
          </cell>
        </row>
        <row r="2978">
          <cell r="E2978" t="str">
            <v>2,2',3,3',4,4'-Hexachlorobiphenyl</v>
          </cell>
          <cell r="F2978" t="str">
            <v>38380-07-3</v>
          </cell>
        </row>
        <row r="2979">
          <cell r="E2979" t="str">
            <v>2,2',3,3',4',5,6-Heptachlorobiphenyl</v>
          </cell>
          <cell r="F2979" t="str">
            <v>52663-70-4</v>
          </cell>
        </row>
        <row r="2980">
          <cell r="E2980" t="str">
            <v>2,2',3,3',4,5,6'-Heptachlorobiphenyl</v>
          </cell>
          <cell r="F2980" t="str">
            <v>38411-25-5</v>
          </cell>
        </row>
        <row r="2981">
          <cell r="E2981" t="str">
            <v>2,2',3,3',4,6'-Hexachlorobiphenyl</v>
          </cell>
          <cell r="F2981" t="str">
            <v>38380-05-1</v>
          </cell>
        </row>
        <row r="2982">
          <cell r="E2982" t="str">
            <v>2,2',3,3'-Tetrachlorobiphenyl (PCB-40)</v>
          </cell>
          <cell r="F2982" t="str">
            <v>38444-93-8</v>
          </cell>
        </row>
        <row r="2983">
          <cell r="E2983" t="str">
            <v>2,2',3,4,4',5,5',6-Octachlorobiphenyl</v>
          </cell>
          <cell r="F2983" t="str">
            <v>52663-76-0</v>
          </cell>
        </row>
        <row r="2984">
          <cell r="E2984" t="str">
            <v>2,2',3,4,4',5,5'-Heptachlorobiphenyl</v>
          </cell>
          <cell r="F2984" t="str">
            <v>35065-29-3</v>
          </cell>
        </row>
        <row r="2985">
          <cell r="E2985" t="str">
            <v>2,2',3,4,4',5',6-Heptachlorobiphenyl</v>
          </cell>
          <cell r="F2985" t="str">
            <v>52663-69-1</v>
          </cell>
        </row>
        <row r="2986">
          <cell r="E2986" t="str">
            <v>2,2',3,4,4',5'-Hexachlorobiphenyl</v>
          </cell>
          <cell r="F2986" t="str">
            <v>35065-28-2</v>
          </cell>
        </row>
        <row r="2987">
          <cell r="E2987" t="str">
            <v>2,2',3,4,4',6,6'-Heptachlorobiphenyl</v>
          </cell>
          <cell r="F2987" t="str">
            <v>74472-48-3</v>
          </cell>
        </row>
        <row r="2988">
          <cell r="E2988" t="str">
            <v>2,2',3,4',5,5',6-Heptachlorobiphenyl</v>
          </cell>
          <cell r="F2988" t="str">
            <v>52663-68-0</v>
          </cell>
        </row>
        <row r="2989">
          <cell r="E2989" t="str">
            <v>2,2',3,4,5,5'-Hexachlorobiphenyl</v>
          </cell>
          <cell r="F2989" t="str">
            <v>52712-04-6</v>
          </cell>
        </row>
        <row r="2990">
          <cell r="E2990" t="str">
            <v>2,2',3,4',5',6-Hexachlorobiphenyl</v>
          </cell>
          <cell r="F2990" t="str">
            <v>38380-04-0</v>
          </cell>
        </row>
        <row r="2991">
          <cell r="E2991" t="str">
            <v>2,2',3',4,5-Pentachlorobiphenyl</v>
          </cell>
          <cell r="F2991" t="str">
            <v>41464-51-1</v>
          </cell>
        </row>
        <row r="2992">
          <cell r="E2992" t="str">
            <v>2,2',3,4',5-Pentachlorobiphenyl</v>
          </cell>
          <cell r="F2992" t="str">
            <v>68194-07-0</v>
          </cell>
        </row>
        <row r="2993">
          <cell r="E2993" t="str">
            <v>2,2',3,4,5'-Pentachlorobiphenyl</v>
          </cell>
          <cell r="F2993" t="str">
            <v>38380-02-8</v>
          </cell>
        </row>
        <row r="2994">
          <cell r="E2994" t="str">
            <v>2,2',3,5,5',6-Hexachlorobiphenyl</v>
          </cell>
          <cell r="F2994" t="str">
            <v>52663-63-5</v>
          </cell>
        </row>
        <row r="2995">
          <cell r="E2995" t="str">
            <v>2,2',3,5',6-Pentachlorobiphenyl</v>
          </cell>
          <cell r="F2995" t="str">
            <v>38379-99-6</v>
          </cell>
        </row>
        <row r="2996">
          <cell r="E2996" t="str">
            <v>2,2',3,5'-Tetrachlorobiphenyl</v>
          </cell>
          <cell r="F2996" t="str">
            <v>41464-39-5</v>
          </cell>
        </row>
        <row r="2997">
          <cell r="E2997" t="str">
            <v>2,2',3-Trichlorobiphenyl</v>
          </cell>
          <cell r="F2997" t="str">
            <v>38444-78-9</v>
          </cell>
        </row>
        <row r="2998">
          <cell r="E2998" t="str">
            <v>2,2',4,4',5,5'-Hexachlorobiphenyl</v>
          </cell>
          <cell r="F2998" t="str">
            <v>35065-27-1</v>
          </cell>
        </row>
        <row r="2999">
          <cell r="E2999" t="str">
            <v>2,2',4,4',5-Pentachlorobiphenyl</v>
          </cell>
          <cell r="F2999" t="str">
            <v>38380-01-7</v>
          </cell>
        </row>
        <row r="3000">
          <cell r="E3000" t="str">
            <v>2,2',4,5,5'-Pentachlorobiphenyl</v>
          </cell>
          <cell r="F3000" t="str">
            <v>37680-73-2</v>
          </cell>
        </row>
        <row r="3001">
          <cell r="E3001" t="str">
            <v>2,4,4',5-Tetrachlorobiphenyl</v>
          </cell>
          <cell r="F3001" t="str">
            <v>32690-93-0</v>
          </cell>
        </row>
        <row r="3002">
          <cell r="E3002" t="str">
            <v>2,4,4'-Trichlorobiphenyl</v>
          </cell>
          <cell r="F3002" t="str">
            <v>7012-37-5</v>
          </cell>
        </row>
        <row r="3003">
          <cell r="E3003" t="str">
            <v>2,4,5-Trichlorobiphenyl</v>
          </cell>
          <cell r="F3003" t="str">
            <v>15862-07-4</v>
          </cell>
        </row>
        <row r="3004">
          <cell r="E3004" t="str">
            <v>2,4',5-Trichlorobiphenyl</v>
          </cell>
          <cell r="F3004" t="str">
            <v>16606-02-3</v>
          </cell>
        </row>
        <row r="3005">
          <cell r="E3005" t="str">
            <v>2,4,6-Trichlorobiphenyl</v>
          </cell>
          <cell r="F3005" t="str">
            <v>35693-92-6</v>
          </cell>
        </row>
        <row r="3006">
          <cell r="E3006" t="str">
            <v>2,4',6-Trichlorobiphenyl</v>
          </cell>
          <cell r="F3006" t="str">
            <v>38444-77-8</v>
          </cell>
        </row>
        <row r="3007">
          <cell r="E3007" t="str">
            <v>2,4'-Dichlorobiphenyl</v>
          </cell>
          <cell r="F3007" t="str">
            <v>34883-43-7</v>
          </cell>
        </row>
        <row r="3008">
          <cell r="E3008" t="str">
            <v>2,4-Dichlorobiphenyl</v>
          </cell>
          <cell r="F3008" t="str">
            <v>33284-50-3</v>
          </cell>
        </row>
        <row r="3009">
          <cell r="E3009" t="str">
            <v>2,5-Dichlorobiphenyl</v>
          </cell>
          <cell r="F3009" t="str">
            <v>34883-39-1</v>
          </cell>
        </row>
        <row r="3010">
          <cell r="E3010" t="str">
            <v>2,6-Dichlorobiphenyl</v>
          </cell>
          <cell r="F3010" t="str">
            <v>33146-45-1</v>
          </cell>
        </row>
        <row r="3011">
          <cell r="E3011" t="str">
            <v>3,3',4,4',5,5'-Hexachlorobiphenyl</v>
          </cell>
          <cell r="F3011" t="str">
            <v>32774-16-6</v>
          </cell>
        </row>
        <row r="3012">
          <cell r="E3012" t="str">
            <v>3,3',4,4',5-Pentachlorobiphenyl</v>
          </cell>
          <cell r="F3012" t="str">
            <v>57465-28-8</v>
          </cell>
        </row>
        <row r="3013">
          <cell r="E3013" t="str">
            <v>3,3',4,4'-Tetrachlorobiphenyl</v>
          </cell>
          <cell r="F3013" t="str">
            <v>32598-13-3</v>
          </cell>
        </row>
        <row r="3014">
          <cell r="E3014" t="str">
            <v>3,3',4-Trichlorobiphenyl</v>
          </cell>
          <cell r="F3014" t="str">
            <v>37680-69-6</v>
          </cell>
        </row>
        <row r="3015">
          <cell r="E3015" t="str">
            <v>3,3',5-Trichlorobiphenyl</v>
          </cell>
          <cell r="F3015" t="str">
            <v>38444-87-0</v>
          </cell>
        </row>
        <row r="3016">
          <cell r="E3016" t="str">
            <v>3,3'-Dichlorobiphenyl</v>
          </cell>
          <cell r="F3016" t="str">
            <v>2050-67-1</v>
          </cell>
        </row>
        <row r="3017">
          <cell r="E3017" t="str">
            <v>3,4,4',5-Tetrachlorobiphenyl</v>
          </cell>
          <cell r="F3017" t="str">
            <v>70362-50-4</v>
          </cell>
        </row>
        <row r="3018">
          <cell r="E3018" t="str">
            <v>3,4,4'-Trichlorobiphenyl (PCB-37)</v>
          </cell>
          <cell r="F3018" t="str">
            <v>38444-90-5</v>
          </cell>
        </row>
        <row r="3019">
          <cell r="E3019" t="str">
            <v>3,4,5-Trichlorobiphenyl (PCB-38)</v>
          </cell>
          <cell r="F3019" t="str">
            <v>53555-66-1</v>
          </cell>
        </row>
        <row r="3020">
          <cell r="E3020" t="str">
            <v>3,4-Dichlorobiphenyl</v>
          </cell>
          <cell r="F3020" t="str">
            <v>2974-92-7</v>
          </cell>
        </row>
        <row r="3021">
          <cell r="E3021" t="str">
            <v>4,4'-Dichlorobiphenyl</v>
          </cell>
          <cell r="F3021" t="str">
            <v>2050-68-2</v>
          </cell>
        </row>
        <row r="3022">
          <cell r="E3022" t="str">
            <v>2,4,5,-Trichlorobiphenyl</v>
          </cell>
          <cell r="F3022" t="str">
            <v>4841-20-7</v>
          </cell>
        </row>
        <row r="3023">
          <cell r="E3023" t="str">
            <v>2,2,4,4-Tetrachlorobiphenyl</v>
          </cell>
          <cell r="F3023" t="str">
            <v>2437-79-8</v>
          </cell>
        </row>
        <row r="3024">
          <cell r="E3024" t="str">
            <v>2,2,4,4,5,6-Hexachlorobiphenyl</v>
          </cell>
          <cell r="F3024" t="str">
            <v>60145-22-4</v>
          </cell>
        </row>
        <row r="3025">
          <cell r="E3025" t="str">
            <v>2,2,3,3,4,4,6-Heptachlorobiphenyl</v>
          </cell>
          <cell r="F3025" t="str">
            <v>52663-71-5</v>
          </cell>
        </row>
        <row r="3026">
          <cell r="E3026" t="str">
            <v>2,2,3,3,4,5,6,6-Octachlorobiphenyl</v>
          </cell>
          <cell r="F3026" t="str">
            <v>40186-71-8</v>
          </cell>
        </row>
        <row r="3027">
          <cell r="E3027" t="str">
            <v>2,2,3,4,6-Pentachlorobiphenyl</v>
          </cell>
          <cell r="F3027" t="str">
            <v>68194-05-8</v>
          </cell>
        </row>
        <row r="3028">
          <cell r="E3028" t="str">
            <v>2,3-Dichlorobiphenyl</v>
          </cell>
          <cell r="F3028" t="str">
            <v>16605-91-7</v>
          </cell>
        </row>
        <row r="3029">
          <cell r="E3029" t="str">
            <v>2,3'-Dichlorobiphenyl</v>
          </cell>
          <cell r="F3029" t="str">
            <v>25569-80-6</v>
          </cell>
        </row>
        <row r="3030">
          <cell r="E3030" t="str">
            <v>3,5-Dichlorobiphenyl</v>
          </cell>
          <cell r="F3030" t="str">
            <v>34883-41-5</v>
          </cell>
        </row>
        <row r="3031">
          <cell r="E3031" t="str">
            <v>4-Chlorobiphenyl</v>
          </cell>
          <cell r="F3031" t="str">
            <v>2051-62-9</v>
          </cell>
        </row>
        <row r="3032">
          <cell r="E3032" t="str">
            <v>3-Chlorobiphenyl</v>
          </cell>
          <cell r="F3032" t="str">
            <v>2051-61-8</v>
          </cell>
        </row>
        <row r="3033">
          <cell r="E3033" t="str">
            <v>2-Chlorobiphenyl</v>
          </cell>
          <cell r="F3033" t="str">
            <v>2051-60-7</v>
          </cell>
        </row>
        <row r="3034">
          <cell r="E3034" t="str">
            <v>2,2'-Dichlorbiphenyl</v>
          </cell>
          <cell r="F3034" t="str">
            <v>13029-08-8</v>
          </cell>
        </row>
        <row r="3035">
          <cell r="E3035" t="str">
            <v>2,2',6-Trichlorobiphenyl</v>
          </cell>
          <cell r="F3035" t="str">
            <v>38444-73-4</v>
          </cell>
        </row>
        <row r="3036">
          <cell r="E3036" t="str">
            <v>2,2',4-Trichlorobiphenyl</v>
          </cell>
          <cell r="F3036" t="str">
            <v>37680-66-3</v>
          </cell>
        </row>
        <row r="3037">
          <cell r="E3037" t="str">
            <v>2,2',3,4-Tetrachlorobiphenyl</v>
          </cell>
          <cell r="F3037" t="str">
            <v>36559-22-5</v>
          </cell>
        </row>
        <row r="3038">
          <cell r="E3038" t="str">
            <v>3,4'-Dichlorobiphenyl</v>
          </cell>
          <cell r="F3038" t="str">
            <v>2974-90-5</v>
          </cell>
        </row>
        <row r="3039">
          <cell r="E3039" t="str">
            <v>3,4',5-Trichlorobiphenyl</v>
          </cell>
          <cell r="F3039" t="str">
            <v>38444-88-1</v>
          </cell>
        </row>
        <row r="3040">
          <cell r="E3040" t="str">
            <v>Decachlorobiphenyl</v>
          </cell>
          <cell r="F3040" t="str">
            <v>2051-24-3</v>
          </cell>
        </row>
        <row r="3041">
          <cell r="E3041" t="str">
            <v>Parathion methyl</v>
          </cell>
          <cell r="F3041" t="str">
            <v>298-00-0</v>
          </cell>
        </row>
        <row r="3042">
          <cell r="E3042" t="str">
            <v>Phenanthrene</v>
          </cell>
          <cell r="F3042" t="str">
            <v>85-01-8</v>
          </cell>
        </row>
        <row r="3043">
          <cell r="E3043" t="str">
            <v>Phenols, Chlorinated</v>
          </cell>
          <cell r="F3043" t="str">
            <v>1336-35-2</v>
          </cell>
        </row>
        <row r="3044">
          <cell r="E3044" t="str">
            <v>Phenols, Non-chlorinated</v>
          </cell>
          <cell r="F3044" t="str">
            <v>E749-63-0</v>
          </cell>
        </row>
        <row r="3045">
          <cell r="E3045" t="str">
            <v>Di-isopropyl ether (DIPE)</v>
          </cell>
          <cell r="F3045" t="str">
            <v>108-20-3</v>
          </cell>
        </row>
        <row r="3046">
          <cell r="E3046" t="str">
            <v>p-Nitrotoluene</v>
          </cell>
          <cell r="F3046" t="str">
            <v>108-38-3</v>
          </cell>
        </row>
        <row r="3047">
          <cell r="E3047" t="str">
            <v>Pirimphos-ethyl</v>
          </cell>
          <cell r="F3047" t="str">
            <v>23505-41-1</v>
          </cell>
        </row>
        <row r="3048">
          <cell r="E3048" t="str">
            <v>Picloram</v>
          </cell>
          <cell r="F3048" t="str">
            <v>1918-02-1</v>
          </cell>
        </row>
        <row r="3049">
          <cell r="E3049" t="str">
            <v>Osmium</v>
          </cell>
          <cell r="F3049" t="str">
            <v>7440-04-2</v>
          </cell>
        </row>
        <row r="3050">
          <cell r="E3050" t="str">
            <v>Hydrogen Sulfide</v>
          </cell>
          <cell r="F3050" t="str">
            <v>7783-06-4</v>
          </cell>
        </row>
        <row r="3051">
          <cell r="E3051" t="str">
            <v>1,4-Dinitrobenzene</v>
          </cell>
          <cell r="F3051" t="str">
            <v>100-25-4</v>
          </cell>
        </row>
        <row r="3052">
          <cell r="E3052" t="str">
            <v>Tritium (Hydrogen 3)</v>
          </cell>
          <cell r="F3052" t="str">
            <v>10028-17-8</v>
          </cell>
        </row>
        <row r="3053">
          <cell r="E3053" t="str">
            <v>Ethylbenzene</v>
          </cell>
          <cell r="F3053" t="str">
            <v>100-41-4</v>
          </cell>
        </row>
        <row r="3054">
          <cell r="E3054" t="str">
            <v>Iodine-131</v>
          </cell>
          <cell r="F3054" t="str">
            <v>10043-66-0</v>
          </cell>
        </row>
        <row r="3055">
          <cell r="E3055" t="str">
            <v>trans-1,3-Dichloropropene</v>
          </cell>
          <cell r="F3055" t="str">
            <v>10061-02-6</v>
          </cell>
        </row>
        <row r="3056">
          <cell r="E3056" t="str">
            <v>n-Nitrosopiperidine</v>
          </cell>
          <cell r="F3056" t="str">
            <v>100-75-4</v>
          </cell>
        </row>
        <row r="3057">
          <cell r="E3057" t="str">
            <v>n-Butylbenzene</v>
          </cell>
          <cell r="F3057" t="str">
            <v>104-51-8</v>
          </cell>
        </row>
        <row r="3058">
          <cell r="E3058" t="str">
            <v>n-Nitrosomethylethylamine</v>
          </cell>
          <cell r="F3058" t="str">
            <v>10595-95-6</v>
          </cell>
        </row>
        <row r="3059">
          <cell r="E3059" t="str">
            <v>1,4-Dichlorobenzene</v>
          </cell>
          <cell r="F3059" t="str">
            <v>106-46-7</v>
          </cell>
        </row>
        <row r="3060">
          <cell r="E3060" t="str">
            <v>p-Benzoquinone</v>
          </cell>
          <cell r="F3060" t="str">
            <v>106-51-4</v>
          </cell>
        </row>
        <row r="3061">
          <cell r="E3061" t="str">
            <v>1,2-Epoxybutane</v>
          </cell>
          <cell r="F3061" t="str">
            <v>106-88-7</v>
          </cell>
        </row>
        <row r="3062">
          <cell r="E3062" t="str">
            <v>1,2-Dibromoethane</v>
          </cell>
          <cell r="F3062" t="str">
            <v>106-93-4</v>
          </cell>
        </row>
        <row r="3063">
          <cell r="E3063" t="str">
            <v>1,3-Butadiene</v>
          </cell>
          <cell r="F3063" t="str">
            <v>106-99-0</v>
          </cell>
        </row>
        <row r="3064">
          <cell r="E3064" t="str">
            <v>1-Bromo-2-chloroethane</v>
          </cell>
          <cell r="F3064" t="str">
            <v>107-04-0</v>
          </cell>
        </row>
        <row r="3065">
          <cell r="E3065" t="str">
            <v>1,2-Dichloroethane</v>
          </cell>
          <cell r="F3065" t="str">
            <v>107-06-2</v>
          </cell>
        </row>
        <row r="3066">
          <cell r="E3066" t="str">
            <v>Glyphosate</v>
          </cell>
          <cell r="F3066" t="str">
            <v>1071-83-6</v>
          </cell>
        </row>
        <row r="3067">
          <cell r="E3067" t="str">
            <v>Ethylene glycol</v>
          </cell>
          <cell r="F3067" t="str">
            <v>107-21-1</v>
          </cell>
        </row>
        <row r="3068">
          <cell r="E3068" t="str">
            <v>Vinyl acetate</v>
          </cell>
          <cell r="F3068" t="str">
            <v>108-05-4</v>
          </cell>
        </row>
        <row r="3069">
          <cell r="E3069" t="str">
            <v>Isopropyl Acetate</v>
          </cell>
          <cell r="F3069" t="str">
            <v>108-21-4</v>
          </cell>
        </row>
        <row r="3070">
          <cell r="E3070" t="str">
            <v>Resorcinol</v>
          </cell>
          <cell r="F3070" t="str">
            <v>108-46-3</v>
          </cell>
        </row>
        <row r="3071">
          <cell r="E3071" t="str">
            <v>1,3,5-Trimethylbenzene</v>
          </cell>
          <cell r="F3071" t="str">
            <v>108-67-8</v>
          </cell>
        </row>
        <row r="3072">
          <cell r="E3072" t="str">
            <v>1,3,5-Trichlorobenzene</v>
          </cell>
          <cell r="F3072" t="str">
            <v>108-70-3</v>
          </cell>
        </row>
        <row r="3073">
          <cell r="E3073" t="str">
            <v>Toluene</v>
          </cell>
          <cell r="F3073" t="str">
            <v>108-88-3</v>
          </cell>
        </row>
        <row r="3074">
          <cell r="E3074" t="str">
            <v>Phenol</v>
          </cell>
          <cell r="F3074" t="str">
            <v>108-95-2</v>
          </cell>
        </row>
        <row r="3075">
          <cell r="E3075" t="str">
            <v>Pentanoic Acid</v>
          </cell>
          <cell r="F3075" t="str">
            <v>109-52-4</v>
          </cell>
        </row>
        <row r="3076">
          <cell r="E3076" t="str">
            <v>n-Propyl Acetate</v>
          </cell>
          <cell r="F3076" t="str">
            <v>109-60-4</v>
          </cell>
        </row>
        <row r="3077">
          <cell r="E3077" t="str">
            <v>Pentane</v>
          </cell>
          <cell r="F3077" t="str">
            <v>109-66-0</v>
          </cell>
        </row>
        <row r="3078">
          <cell r="E3078" t="str">
            <v>1-Pentene</v>
          </cell>
          <cell r="F3078" t="str">
            <v>109-67-1</v>
          </cell>
        </row>
        <row r="3079">
          <cell r="E3079" t="str">
            <v>Malononitrile</v>
          </cell>
          <cell r="F3079" t="str">
            <v>109-77-3</v>
          </cell>
        </row>
        <row r="3080">
          <cell r="E3080" t="str">
            <v>1,4-Dichlorobutane</v>
          </cell>
          <cell r="F3080" t="str">
            <v>110-56-5</v>
          </cell>
        </row>
        <row r="3081">
          <cell r="E3081" t="str">
            <v>trans-1,4-Dichloro-2-butene</v>
          </cell>
          <cell r="F3081" t="str">
            <v>110-57-6</v>
          </cell>
        </row>
        <row r="3082">
          <cell r="E3082" t="str">
            <v>Pentanal</v>
          </cell>
          <cell r="F3082" t="str">
            <v>110-62-3</v>
          </cell>
        </row>
        <row r="3083">
          <cell r="E3083" t="str">
            <v>1-Hexanol</v>
          </cell>
          <cell r="F3083" t="str">
            <v>111-27-3</v>
          </cell>
        </row>
        <row r="3084">
          <cell r="E3084" t="str">
            <v>Pebulate</v>
          </cell>
          <cell r="F3084" t="str">
            <v>1114-71-2</v>
          </cell>
        </row>
        <row r="3085">
          <cell r="E3085" t="str">
            <v>N-Nitrosodiethanolamine</v>
          </cell>
          <cell r="F3085" t="str">
            <v>1116-54-7</v>
          </cell>
        </row>
        <row r="3086">
          <cell r="E3086" t="str">
            <v>C8 as n-Octane</v>
          </cell>
          <cell r="F3086" t="str">
            <v>111-65-9</v>
          </cell>
        </row>
        <row r="3087">
          <cell r="E3087" t="str">
            <v>Nonane</v>
          </cell>
          <cell r="F3087" t="str">
            <v>111-84-2</v>
          </cell>
        </row>
        <row r="3088">
          <cell r="E3088" t="str">
            <v>Undecane</v>
          </cell>
          <cell r="F3088" t="str">
            <v>1120-21-4</v>
          </cell>
        </row>
        <row r="3089">
          <cell r="E3089" t="str">
            <v>Triethylene glycol</v>
          </cell>
          <cell r="F3089" t="str">
            <v>112-27-6</v>
          </cell>
        </row>
        <row r="3090">
          <cell r="E3090" t="str">
            <v>Triphenyl phosphate</v>
          </cell>
          <cell r="F3090" t="str">
            <v>115-86-6</v>
          </cell>
        </row>
        <row r="3091">
          <cell r="E3091" t="str">
            <v>Isosafrole</v>
          </cell>
          <cell r="F3091" t="str">
            <v>120-58-1</v>
          </cell>
        </row>
        <row r="3092">
          <cell r="E3092" t="str">
            <v>p-Cresidine</v>
          </cell>
          <cell r="F3092" t="str">
            <v>120-71-8</v>
          </cell>
        </row>
        <row r="3093">
          <cell r="E3093" t="str">
            <v>1,2,4-Trichlorobenzene</v>
          </cell>
          <cell r="F3093" t="str">
            <v>120-82-1</v>
          </cell>
        </row>
        <row r="3094">
          <cell r="E3094" t="str">
            <v>Zineb</v>
          </cell>
          <cell r="F3094" t="str">
            <v>12122-67-7</v>
          </cell>
        </row>
        <row r="3095">
          <cell r="E3095" t="str">
            <v>Triethylamine</v>
          </cell>
          <cell r="F3095" t="str">
            <v>121-44-8</v>
          </cell>
        </row>
        <row r="3096">
          <cell r="E3096" t="str">
            <v>Malathion</v>
          </cell>
          <cell r="F3096" t="str">
            <v>121-75-5</v>
          </cell>
        </row>
        <row r="3097">
          <cell r="E3097" t="str">
            <v>Hexahydro-1,3,5-trinitro-1,3,5-triazine</v>
          </cell>
          <cell r="F3097" t="str">
            <v>121-82-4</v>
          </cell>
        </row>
        <row r="3098">
          <cell r="E3098" t="str">
            <v>1,2-Diphenylhydrazine</v>
          </cell>
          <cell r="F3098" t="str">
            <v>122-66-7</v>
          </cell>
        </row>
        <row r="3099">
          <cell r="E3099" t="str">
            <v>Hydroquinone</v>
          </cell>
          <cell r="F3099" t="str">
            <v>123-31-9</v>
          </cell>
        </row>
        <row r="3100">
          <cell r="E3100" t="str">
            <v>Paraldehyde</v>
          </cell>
          <cell r="F3100" t="str">
            <v>123-63-7</v>
          </cell>
        </row>
        <row r="3101">
          <cell r="E3101" t="str">
            <v>1,4-Dioxane</v>
          </cell>
          <cell r="F3101" t="str">
            <v>123-91-1</v>
          </cell>
        </row>
        <row r="3102">
          <cell r="E3102" t="str">
            <v>Octanal</v>
          </cell>
          <cell r="F3102" t="str">
            <v>124-13-0</v>
          </cell>
        </row>
        <row r="3103">
          <cell r="E3103" t="str">
            <v>Maneb</v>
          </cell>
          <cell r="F3103" t="str">
            <v>12427-38-2</v>
          </cell>
        </row>
        <row r="3104">
          <cell r="E3104" t="str">
            <v>o,o,o-Triethyl phosphorothioate</v>
          </cell>
          <cell r="F3104" t="str">
            <v>126-68-1</v>
          </cell>
        </row>
        <row r="3105">
          <cell r="E3105" t="str">
            <v>Tris(2,3-dibromopropyl)phosphate</v>
          </cell>
          <cell r="F3105" t="str">
            <v>126-72-7</v>
          </cell>
        </row>
        <row r="3106">
          <cell r="E3106" t="str">
            <v>Tributyl phosphate</v>
          </cell>
          <cell r="F3106" t="str">
            <v>126-73-8</v>
          </cell>
        </row>
        <row r="3107">
          <cell r="E3107" t="str">
            <v>1,4-Naphthoquinone</v>
          </cell>
          <cell r="F3107" t="str">
            <v>130-15-4</v>
          </cell>
        </row>
        <row r="3108">
          <cell r="E3108" t="str">
            <v>Phenol-d6</v>
          </cell>
          <cell r="F3108" t="str">
            <v>13127-88-3</v>
          </cell>
        </row>
        <row r="3109">
          <cell r="E3109" t="str">
            <v>Phosphamidon</v>
          </cell>
          <cell r="F3109" t="str">
            <v>13171-21-6</v>
          </cell>
        </row>
        <row r="3110">
          <cell r="E3110" t="str">
            <v>Xylenes</v>
          </cell>
          <cell r="F3110" t="str">
            <v>1330-20-7</v>
          </cell>
        </row>
        <row r="3111">
          <cell r="E3111" t="str">
            <v>Hydrogen</v>
          </cell>
          <cell r="F3111" t="str">
            <v>1333-74-0</v>
          </cell>
        </row>
        <row r="3112">
          <cell r="E3112" t="str">
            <v>1-Naphthylamine</v>
          </cell>
          <cell r="F3112" t="str">
            <v>134-32-7</v>
          </cell>
        </row>
        <row r="3113">
          <cell r="E3113" t="str">
            <v>Ziram</v>
          </cell>
          <cell r="F3113" t="str">
            <v>137-30-4</v>
          </cell>
        </row>
        <row r="3114">
          <cell r="E3114" t="str">
            <v>Uranium-234</v>
          </cell>
          <cell r="F3114" t="str">
            <v>13966-29-5</v>
          </cell>
        </row>
        <row r="3115">
          <cell r="E3115" t="str">
            <v>Zinc-65</v>
          </cell>
          <cell r="F3115" t="str">
            <v>13982-39-3</v>
          </cell>
        </row>
        <row r="3116">
          <cell r="E3116" t="str">
            <v>Ethyl acetate</v>
          </cell>
          <cell r="F3116" t="str">
            <v>141-78-6</v>
          </cell>
        </row>
        <row r="3117">
          <cell r="E3117" t="str">
            <v>1,3-Dichloropropane</v>
          </cell>
          <cell r="F3117" t="str">
            <v>142-28-9</v>
          </cell>
        </row>
        <row r="3118">
          <cell r="E3118" t="str">
            <v>Lead-210</v>
          </cell>
          <cell r="F3118" t="str">
            <v>14255-04-0</v>
          </cell>
        </row>
        <row r="3119">
          <cell r="E3119" t="str">
            <v>Phosphate, Total ( as P)</v>
          </cell>
          <cell r="F3119" t="str">
            <v>14265-44-2</v>
          </cell>
        </row>
        <row r="3120">
          <cell r="E3120" t="str">
            <v>Kepone</v>
          </cell>
          <cell r="F3120" t="str">
            <v>143-50-0</v>
          </cell>
        </row>
        <row r="3121">
          <cell r="E3121" t="str">
            <v>Nitrate</v>
          </cell>
          <cell r="F3121" t="str">
            <v>14797-55-8</v>
          </cell>
        </row>
        <row r="3122">
          <cell r="E3122" t="str">
            <v>Nitrite</v>
          </cell>
          <cell r="F3122" t="str">
            <v>14797-65-0</v>
          </cell>
        </row>
        <row r="3123">
          <cell r="E3123" t="str">
            <v>Perchlorate</v>
          </cell>
          <cell r="F3123" t="str">
            <v>14797-73-0</v>
          </cell>
        </row>
        <row r="3124">
          <cell r="E3124" t="str">
            <v>Merphos</v>
          </cell>
          <cell r="F3124" t="str">
            <v>150-50-5</v>
          </cell>
        </row>
        <row r="3125">
          <cell r="E3125" t="str">
            <v>Lead-214</v>
          </cell>
          <cell r="F3125" t="str">
            <v>15067-28-4</v>
          </cell>
        </row>
        <row r="3126">
          <cell r="E3126" t="str">
            <v>Monuron</v>
          </cell>
          <cell r="F3126" t="str">
            <v>150-68-5</v>
          </cell>
        </row>
        <row r="3127">
          <cell r="E3127" t="str">
            <v>Lead-212</v>
          </cell>
          <cell r="F3127" t="str">
            <v>15092-94-1</v>
          </cell>
        </row>
        <row r="3128">
          <cell r="E3128" t="str">
            <v>Uranium-235</v>
          </cell>
          <cell r="F3128" t="str">
            <v>15117-96-1</v>
          </cell>
        </row>
        <row r="3129">
          <cell r="E3129" t="str">
            <v>Napropamide</v>
          </cell>
          <cell r="F3129" t="str">
            <v>15299-99-7</v>
          </cell>
        </row>
        <row r="3130">
          <cell r="E3130" t="str">
            <v>trans-1,2-Dichloroethene</v>
          </cell>
          <cell r="F3130" t="str">
            <v>156-60-5</v>
          </cell>
        </row>
        <row r="3131">
          <cell r="E3131" t="str">
            <v>Trifluralin</v>
          </cell>
          <cell r="F3131" t="str">
            <v>1582-09-8</v>
          </cell>
        </row>
        <row r="3132">
          <cell r="E3132" t="str">
            <v>1,4-Oxathiane</v>
          </cell>
          <cell r="F3132" t="str">
            <v>15980-15-1</v>
          </cell>
        </row>
        <row r="3133">
          <cell r="E3133" t="str">
            <v>Methyl-tert-butyl ether (MTBE)</v>
          </cell>
          <cell r="F3133" t="str">
            <v>1634-04-4</v>
          </cell>
        </row>
        <row r="3134">
          <cell r="E3134" t="str">
            <v>Methomyl</v>
          </cell>
          <cell r="F3134" t="str">
            <v>16752-77-5</v>
          </cell>
        </row>
        <row r="3135">
          <cell r="E3135" t="str">
            <v>1,2-Dichloroethane-d4</v>
          </cell>
          <cell r="F3135" t="str">
            <v>17060-07-0</v>
          </cell>
        </row>
        <row r="3136">
          <cell r="E3136" t="str">
            <v>1,4-Dioxane-d8</v>
          </cell>
          <cell r="F3136" t="str">
            <v>17647-74-4</v>
          </cell>
        </row>
        <row r="3137">
          <cell r="E3137" t="str">
            <v>Oryzalin</v>
          </cell>
          <cell r="F3137" t="str">
            <v>19044-88-3</v>
          </cell>
        </row>
        <row r="3138">
          <cell r="E3138" t="str">
            <v>Paraquat</v>
          </cell>
          <cell r="F3138" t="str">
            <v>1910-42-5</v>
          </cell>
        </row>
        <row r="3139">
          <cell r="E3139" t="str">
            <v>Indeno(1,2,3-cd)pyrene</v>
          </cell>
          <cell r="F3139" t="str">
            <v>193-39-5</v>
          </cell>
        </row>
        <row r="3140">
          <cell r="E3140" t="str">
            <v>1,2,3,7,8,9-Hexachlorodibenzo-p-dioxin</v>
          </cell>
          <cell r="F3140" t="str">
            <v>19408-74-3</v>
          </cell>
        </row>
        <row r="3141">
          <cell r="E3141" t="str">
            <v>Perylene</v>
          </cell>
          <cell r="F3141" t="str">
            <v>198-55-0</v>
          </cell>
        </row>
        <row r="3142">
          <cell r="E3142" t="str">
            <v>Methiocarb</v>
          </cell>
          <cell r="F3142" t="str">
            <v>2032-65-7</v>
          </cell>
        </row>
        <row r="3143">
          <cell r="E3143" t="str">
            <v>Toluene-d8</v>
          </cell>
          <cell r="F3143" t="str">
            <v>2037-26-5</v>
          </cell>
        </row>
        <row r="3144">
          <cell r="E3144" t="str">
            <v>Iodide (as I)</v>
          </cell>
          <cell r="F3144" t="str">
            <v>20461-54-5</v>
          </cell>
        </row>
        <row r="3145">
          <cell r="E3145" t="str">
            <v>Metribuzin</v>
          </cell>
          <cell r="F3145" t="str">
            <v>21087-64-9</v>
          </cell>
        </row>
        <row r="3146">
          <cell r="E3146" t="str">
            <v>Molinate</v>
          </cell>
          <cell r="F3146" t="str">
            <v>2212-67-1</v>
          </cell>
        </row>
        <row r="3147">
          <cell r="E3147" t="str">
            <v>Methyl mercury</v>
          </cell>
          <cell r="F3147" t="str">
            <v>22967-92-6</v>
          </cell>
        </row>
        <row r="3148">
          <cell r="E3148" t="str">
            <v>Triallate</v>
          </cell>
          <cell r="F3148" t="str">
            <v>2303-17-5</v>
          </cell>
        </row>
        <row r="3149">
          <cell r="E3149" t="str">
            <v>Phosalone</v>
          </cell>
          <cell r="F3149" t="str">
            <v>2310-17-0</v>
          </cell>
        </row>
        <row r="3150">
          <cell r="E3150" t="str">
            <v>Oxamyl</v>
          </cell>
          <cell r="F3150" t="str">
            <v>23135-22-0</v>
          </cell>
        </row>
        <row r="3151">
          <cell r="E3151" t="str">
            <v>Mirex</v>
          </cell>
          <cell r="F3151" t="str">
            <v>2385-85-5</v>
          </cell>
        </row>
        <row r="3152">
          <cell r="E3152" t="str">
            <v>Isofenphos</v>
          </cell>
          <cell r="F3152" t="str">
            <v>25311-71-1</v>
          </cell>
        </row>
        <row r="3153">
          <cell r="E3153" t="str">
            <v>Trichlorobiphenyl</v>
          </cell>
          <cell r="F3153" t="str">
            <v>25323-68-6</v>
          </cell>
        </row>
        <row r="3154">
          <cell r="E3154" t="str">
            <v>Trichloropropane</v>
          </cell>
          <cell r="F3154" t="str">
            <v>25735-29-9</v>
          </cell>
        </row>
        <row r="3155">
          <cell r="E3155" t="str">
            <v>Toluene diisocyanate</v>
          </cell>
          <cell r="F3155" t="str">
            <v>26471-62-5</v>
          </cell>
        </row>
        <row r="3156">
          <cell r="E3156" t="str">
            <v>Octahydro-1,3,5,7-tetranitro-1,3,5,7-tetrazocine</v>
          </cell>
          <cell r="F3156" t="str">
            <v>2691-41-0</v>
          </cell>
        </row>
        <row r="3157">
          <cell r="E3157" t="str">
            <v>Oxychlordane</v>
          </cell>
          <cell r="F3157" t="str">
            <v>27304-13-8</v>
          </cell>
        </row>
        <row r="3158">
          <cell r="E3158" t="str">
            <v>Norflurazon</v>
          </cell>
          <cell r="F3158" t="str">
            <v>27314-13-2</v>
          </cell>
        </row>
        <row r="3159">
          <cell r="E3159" t="str">
            <v>Monochlorobiphenyl</v>
          </cell>
          <cell r="F3159" t="str">
            <v>27323-18-8</v>
          </cell>
        </row>
        <row r="3160">
          <cell r="E3160" t="str">
            <v>Phorate</v>
          </cell>
          <cell r="F3160" t="str">
            <v>298-02-2</v>
          </cell>
        </row>
        <row r="3161">
          <cell r="E3161" t="str">
            <v>Naled</v>
          </cell>
          <cell r="F3161" t="str">
            <v>300-76-5</v>
          </cell>
        </row>
        <row r="3162">
          <cell r="E3162" t="str">
            <v>Hydrazine</v>
          </cell>
          <cell r="F3162" t="str">
            <v>302-01-2</v>
          </cell>
        </row>
        <row r="3163">
          <cell r="E3163" t="str">
            <v>Mexacarbate</v>
          </cell>
          <cell r="F3163" t="str">
            <v>315-18-4</v>
          </cell>
        </row>
        <row r="3164">
          <cell r="E3164" t="str">
            <v>Trichloronate</v>
          </cell>
          <cell r="F3164" t="str">
            <v>327-98-0</v>
          </cell>
        </row>
        <row r="3165">
          <cell r="E3165" t="str">
            <v>Linuron</v>
          </cell>
          <cell r="F3165" t="str">
            <v>330-55-2</v>
          </cell>
        </row>
        <row r="3166">
          <cell r="E3166" t="str">
            <v>1-Chlorooctadecane</v>
          </cell>
          <cell r="F3166" t="str">
            <v>3386-33-2</v>
          </cell>
        </row>
        <row r="3167">
          <cell r="E3167" t="str">
            <v>Total Hexachlorodibenzo-p-dioxins (HxCDD)</v>
          </cell>
          <cell r="F3167" t="str">
            <v>34465-46-8</v>
          </cell>
        </row>
        <row r="3168">
          <cell r="E3168" t="str">
            <v>1,2-Dichloro-1,1,2-trifluoroethane</v>
          </cell>
          <cell r="F3168" t="str">
            <v>354-23-4</v>
          </cell>
        </row>
        <row r="3169">
          <cell r="E3169" t="str">
            <v>1,2,3,4,6,7,8-Heptachlorodibenzo-p-dioxin</v>
          </cell>
          <cell r="F3169" t="str">
            <v>35822-46-9</v>
          </cell>
        </row>
        <row r="3170">
          <cell r="E3170" t="str">
            <v>Total Pentachlorodibenzo-p-dioxin (PeCDD)</v>
          </cell>
          <cell r="F3170" t="str">
            <v>36088-22-9</v>
          </cell>
        </row>
        <row r="3171">
          <cell r="E3171" t="str">
            <v>Total Heptachlorodibenzo-p-dioxins (HpCDD)</v>
          </cell>
          <cell r="F3171" t="str">
            <v>37871-00-4</v>
          </cell>
        </row>
        <row r="3172">
          <cell r="E3172" t="str">
            <v>1,4 Dichlorobenzene-d4</v>
          </cell>
          <cell r="F3172" t="str">
            <v>3855-82-1</v>
          </cell>
        </row>
        <row r="3173">
          <cell r="E3173" t="str">
            <v>Octachlorodibenzofuran</v>
          </cell>
          <cell r="F3173" t="str">
            <v>39001-02-0</v>
          </cell>
        </row>
        <row r="3174">
          <cell r="E3174" t="str">
            <v>1,2,3,4,7,8-Hexachlorodibenzo-p-dioxin</v>
          </cell>
          <cell r="F3174" t="str">
            <v>39227-28-6</v>
          </cell>
        </row>
        <row r="3175">
          <cell r="E3175" t="str">
            <v>trans-Nonachlor</v>
          </cell>
          <cell r="F3175" t="str">
            <v>39765-80-5</v>
          </cell>
        </row>
        <row r="3176">
          <cell r="E3176" t="str">
            <v>1,2,3,7,8-Pentachlorodibenzo-p-dioxin</v>
          </cell>
          <cell r="F3176" t="str">
            <v>40321-76-4</v>
          </cell>
        </row>
        <row r="3177">
          <cell r="E3177" t="str">
            <v>trans-Isosafrole</v>
          </cell>
          <cell r="F3177" t="str">
            <v>4043-71-4</v>
          </cell>
        </row>
        <row r="3178">
          <cell r="E3178" t="str">
            <v>Penoxalin (Pendimethalin)</v>
          </cell>
          <cell r="F3178" t="str">
            <v>40487-42-1</v>
          </cell>
        </row>
        <row r="3179">
          <cell r="E3179" t="str">
            <v>Nitrobenzene-d5</v>
          </cell>
          <cell r="F3179" t="str">
            <v>4165-60-0</v>
          </cell>
        </row>
        <row r="3180">
          <cell r="E3180" t="str">
            <v>Phenol-d5</v>
          </cell>
          <cell r="F3180" t="str">
            <v>4165-62-2</v>
          </cell>
        </row>
        <row r="3181">
          <cell r="E3181" t="str">
            <v>Isodrin</v>
          </cell>
          <cell r="F3181" t="str">
            <v>465-73-6</v>
          </cell>
        </row>
        <row r="3182">
          <cell r="E3182" t="str">
            <v>Phenobarbital</v>
          </cell>
          <cell r="F3182" t="str">
            <v>50-06-6</v>
          </cell>
        </row>
        <row r="3183">
          <cell r="E3183" t="str">
            <v>1,4-Dithiane</v>
          </cell>
          <cell r="F3183" t="str">
            <v>505-29-3</v>
          </cell>
        </row>
        <row r="3184">
          <cell r="E3184" t="str">
            <v>Total Petroleum Hydrocarbons (TPH) as JP-4</v>
          </cell>
          <cell r="F3184" t="str">
            <v>50815-00-4</v>
          </cell>
        </row>
        <row r="3185">
          <cell r="E3185" t="str">
            <v>Metolachlor</v>
          </cell>
          <cell r="F3185" t="str">
            <v>51218-45-2</v>
          </cell>
        </row>
        <row r="3186">
          <cell r="E3186" t="str">
            <v>Hexazinone</v>
          </cell>
          <cell r="F3186" t="str">
            <v>51235-04-2</v>
          </cell>
        </row>
        <row r="3187">
          <cell r="E3187" t="str">
            <v>Trimethyl phosphate</v>
          </cell>
          <cell r="F3187" t="str">
            <v>512-56-1</v>
          </cell>
        </row>
        <row r="3188">
          <cell r="E3188" t="str">
            <v>1,1-Dichloropropanone</v>
          </cell>
          <cell r="F3188" t="str">
            <v>513-88-2</v>
          </cell>
        </row>
        <row r="3189">
          <cell r="E3189" t="str">
            <v>Ethyl carbamate</v>
          </cell>
          <cell r="F3189" t="str">
            <v>51-79-6</v>
          </cell>
        </row>
        <row r="3190">
          <cell r="E3190" t="str">
            <v>Permethrin</v>
          </cell>
          <cell r="F3190" t="str">
            <v>52645-53-1</v>
          </cell>
        </row>
        <row r="3191">
          <cell r="E3191" t="str">
            <v>1,2,3-Trimethylbenzene</v>
          </cell>
          <cell r="F3191" t="str">
            <v>526-73-8</v>
          </cell>
        </row>
        <row r="3192">
          <cell r="E3192" t="str">
            <v>Trichlorfon</v>
          </cell>
          <cell r="F3192" t="str">
            <v>52-68-6</v>
          </cell>
        </row>
        <row r="3193">
          <cell r="E3193" t="str">
            <v>1,2-Dinitrobenzene</v>
          </cell>
          <cell r="F3193" t="str">
            <v>528-29-0</v>
          </cell>
        </row>
        <row r="3194">
          <cell r="E3194" t="str">
            <v>Nonachlorobiphenyl</v>
          </cell>
          <cell r="F3194" t="str">
            <v>53742-07-7</v>
          </cell>
        </row>
        <row r="3195">
          <cell r="E3195" t="str">
            <v>Isobutylbenzene</v>
          </cell>
          <cell r="F3195" t="str">
            <v>538-93-2</v>
          </cell>
        </row>
        <row r="3196">
          <cell r="E3196" t="str">
            <v>1,4-Difluorobenzene</v>
          </cell>
          <cell r="F3196" t="str">
            <v>540-36-3</v>
          </cell>
        </row>
        <row r="3197">
          <cell r="E3197" t="str">
            <v>1,2-Dichloroethene, Total</v>
          </cell>
          <cell r="F3197" t="str">
            <v>540-59-0</v>
          </cell>
        </row>
        <row r="3198">
          <cell r="E3198" t="str">
            <v>1,3-Dichlorobenzene</v>
          </cell>
          <cell r="F3198" t="str">
            <v>541-73-1</v>
          </cell>
        </row>
        <row r="3199">
          <cell r="E3199" t="str">
            <v>1,3-Dichloropropene (Total)</v>
          </cell>
          <cell r="F3199" t="str">
            <v>542-75-6</v>
          </cell>
        </row>
        <row r="3200">
          <cell r="E3200" t="str">
            <v>1-Chlorohexane</v>
          </cell>
          <cell r="F3200" t="str">
            <v>544-10-5</v>
          </cell>
        </row>
        <row r="3201">
          <cell r="E3201" t="str">
            <v>n-Nitrosodiethylamine</v>
          </cell>
          <cell r="F3201" t="str">
            <v>55-18-5</v>
          </cell>
        </row>
        <row r="3202">
          <cell r="E3202" t="str">
            <v>Neburon</v>
          </cell>
          <cell r="F3202" t="str">
            <v>555-37-3</v>
          </cell>
        </row>
        <row r="3203">
          <cell r="E3203" t="str">
            <v>Nitroglycerin</v>
          </cell>
          <cell r="F3203" t="str">
            <v>55-63-0</v>
          </cell>
        </row>
        <row r="3204">
          <cell r="E3204" t="str">
            <v>1,2,3,4,7,8,9-Heptachlorodibenzofuran</v>
          </cell>
          <cell r="F3204" t="str">
            <v>55673-89-7</v>
          </cell>
        </row>
        <row r="3205">
          <cell r="E3205" t="str">
            <v>Nitroguanidine</v>
          </cell>
          <cell r="F3205" t="str">
            <v>556-88-7</v>
          </cell>
        </row>
        <row r="3206">
          <cell r="E3206" t="str">
            <v>Octachlorobiphenyl</v>
          </cell>
          <cell r="F3206" t="str">
            <v>55722-26-4</v>
          </cell>
        </row>
        <row r="3207">
          <cell r="E3207" t="str">
            <v>1,1-Dichloropropene</v>
          </cell>
          <cell r="F3207" t="str">
            <v>563-58-6</v>
          </cell>
        </row>
        <row r="3208">
          <cell r="E3208" t="str">
            <v>Octadecanoic acid</v>
          </cell>
          <cell r="F3208" t="str">
            <v>57-11-4</v>
          </cell>
        </row>
        <row r="3209">
          <cell r="E3209" t="str">
            <v>1,2,3,7,8-Pentachlorodibenzofuran</v>
          </cell>
          <cell r="F3209" t="str">
            <v>57117-41-6</v>
          </cell>
        </row>
        <row r="3210">
          <cell r="E3210" t="str">
            <v>1,2,3,6,7,8-Hexachlorodibenzofuran</v>
          </cell>
          <cell r="F3210" t="str">
            <v>57117-44-9</v>
          </cell>
        </row>
        <row r="3211">
          <cell r="E3211" t="str">
            <v>1,1-Dimethylhydrazine</v>
          </cell>
          <cell r="F3211" t="str">
            <v>57-14-7</v>
          </cell>
        </row>
        <row r="3212">
          <cell r="E3212" t="str">
            <v>1,2,3,6,7,8-Hexachlorodibenzo-p-dioxin</v>
          </cell>
          <cell r="F3212" t="str">
            <v>57653-85-7</v>
          </cell>
        </row>
        <row r="3213">
          <cell r="E3213" t="str">
            <v>1-Acetyl-2-thiourea</v>
          </cell>
          <cell r="F3213" t="str">
            <v>591-08-2</v>
          </cell>
        </row>
        <row r="3214">
          <cell r="E3214" t="str">
            <v>Octadecane</v>
          </cell>
          <cell r="F3214" t="str">
            <v>593-45-3</v>
          </cell>
        </row>
        <row r="3215">
          <cell r="E3215" t="str">
            <v>n-Nitrosomorpholine</v>
          </cell>
          <cell r="F3215" t="str">
            <v>59-89-2</v>
          </cell>
        </row>
        <row r="3216">
          <cell r="E3216" t="str">
            <v>p-Dimethylaminoazobenzene</v>
          </cell>
          <cell r="F3216" t="str">
            <v>60-11-7</v>
          </cell>
        </row>
        <row r="3217">
          <cell r="E3217" t="str">
            <v>Pentachlorobenzene</v>
          </cell>
          <cell r="F3217" t="str">
            <v>608-93-5</v>
          </cell>
        </row>
        <row r="3218">
          <cell r="E3218" t="str">
            <v>Methylene Blue Active Substances</v>
          </cell>
          <cell r="F3218" t="str">
            <v>61-73-4</v>
          </cell>
        </row>
        <row r="3219">
          <cell r="E3219" t="str">
            <v>n-Nitrosodi-n-propylamine</v>
          </cell>
          <cell r="F3219" t="str">
            <v>621-64-7</v>
          </cell>
        </row>
        <row r="3220">
          <cell r="E3220" t="str">
            <v>Methyl disulfide</v>
          </cell>
          <cell r="F3220" t="str">
            <v>624-92-0</v>
          </cell>
        </row>
        <row r="3221">
          <cell r="E3221" t="str">
            <v>Ethyl methanesulfonate</v>
          </cell>
          <cell r="F3221" t="str">
            <v>62-50-0</v>
          </cell>
        </row>
        <row r="3222">
          <cell r="E3222" t="str">
            <v>n-Nitrosodimethylamine</v>
          </cell>
          <cell r="F3222" t="str">
            <v>62-75-9</v>
          </cell>
        </row>
        <row r="3223">
          <cell r="E3223" t="str">
            <v>Tridecane</v>
          </cell>
          <cell r="F3223" t="str">
            <v>629-50-5</v>
          </cell>
        </row>
        <row r="3224">
          <cell r="E3224" t="str">
            <v>C14 as n-Tetradecane</v>
          </cell>
          <cell r="F3224" t="str">
            <v>629-59-4</v>
          </cell>
        </row>
        <row r="3225">
          <cell r="E3225" t="str">
            <v>Nonadecane</v>
          </cell>
          <cell r="F3225" t="str">
            <v>629-92-5</v>
          </cell>
        </row>
        <row r="3226">
          <cell r="E3226" t="str">
            <v>Pentacosane</v>
          </cell>
          <cell r="F3226" t="str">
            <v>629-99-2</v>
          </cell>
        </row>
        <row r="3227">
          <cell r="E3227" t="str">
            <v>Octacosane</v>
          </cell>
          <cell r="F3227" t="str">
            <v>630-02-4</v>
          </cell>
        </row>
        <row r="3228">
          <cell r="E3228" t="str">
            <v>Nonacosane</v>
          </cell>
          <cell r="F3228" t="str">
            <v>630-03-5</v>
          </cell>
        </row>
        <row r="3229">
          <cell r="E3229" t="str">
            <v>Tritriacontane</v>
          </cell>
          <cell r="F3229" t="str">
            <v>630-05-7</v>
          </cell>
        </row>
        <row r="3230">
          <cell r="E3230" t="str">
            <v>Pentatriacontane</v>
          </cell>
          <cell r="F3230" t="str">
            <v>630-07-9</v>
          </cell>
        </row>
        <row r="3231">
          <cell r="E3231" t="str">
            <v>1,1,1,2-Tetrachloroethane</v>
          </cell>
          <cell r="F3231" t="str">
            <v>630-20-6</v>
          </cell>
        </row>
        <row r="3232">
          <cell r="E3232" t="str">
            <v>1,2,3,5-Tetrachlorobenzene</v>
          </cell>
          <cell r="F3232" t="str">
            <v>634-90-2</v>
          </cell>
        </row>
        <row r="3233">
          <cell r="E3233" t="str">
            <v>Ethyl tert-butyl ether (ETBE)</v>
          </cell>
          <cell r="F3233" t="str">
            <v>637-92-3</v>
          </cell>
        </row>
        <row r="3234">
          <cell r="E3234" t="str">
            <v>n-Triacontane</v>
          </cell>
          <cell r="F3234" t="str">
            <v>638-68-6</v>
          </cell>
        </row>
        <row r="3235">
          <cell r="E3235" t="str">
            <v>Mineral Spirits</v>
          </cell>
          <cell r="F3235" t="str">
            <v>64475-85-0</v>
          </cell>
        </row>
        <row r="3236">
          <cell r="E3236" t="str">
            <v>Isohexanoic Acid</v>
          </cell>
          <cell r="F3236" t="str">
            <v>646-07-1</v>
          </cell>
        </row>
        <row r="3237">
          <cell r="E3237" t="str">
            <v>Methanol (MeOH)</v>
          </cell>
          <cell r="F3237" t="str">
            <v>67-56-1</v>
          </cell>
        </row>
        <row r="3238">
          <cell r="E3238" t="str">
            <v>1,2,3,4,6,7,8-Heptachlorodibenzofuran</v>
          </cell>
          <cell r="F3238" t="str">
            <v>67562-39-4</v>
          </cell>
        </row>
        <row r="3239">
          <cell r="E3239" t="str">
            <v>Fuel Oil No. 6 (BUNKER C)</v>
          </cell>
          <cell r="F3239" t="str">
            <v>68553-00-4</v>
          </cell>
        </row>
        <row r="3240">
          <cell r="E3240" t="str">
            <v>Tributyltin</v>
          </cell>
          <cell r="F3240" t="str">
            <v>688-73-3</v>
          </cell>
        </row>
        <row r="3241">
          <cell r="E3241" t="str">
            <v>Monocrotophos</v>
          </cell>
          <cell r="F3241" t="str">
            <v>6923-22-4</v>
          </cell>
        </row>
        <row r="3242">
          <cell r="E3242" t="str">
            <v>1,2,3,4,7,8-Hexachlorodibenzofuran</v>
          </cell>
          <cell r="F3242" t="str">
            <v>70648-26-9</v>
          </cell>
        </row>
        <row r="3243">
          <cell r="E3243" t="str">
            <v>1-Pentanol</v>
          </cell>
          <cell r="F3243" t="str">
            <v>71-41-0</v>
          </cell>
        </row>
        <row r="3244">
          <cell r="E3244" t="str">
            <v>1,1,1-Trichloroethane</v>
          </cell>
          <cell r="F3244" t="str">
            <v>71-55-6</v>
          </cell>
        </row>
        <row r="3245">
          <cell r="E3245" t="str">
            <v>Mestranol</v>
          </cell>
          <cell r="F3245" t="str">
            <v>72-33-3</v>
          </cell>
        </row>
        <row r="3246">
          <cell r="E3246" t="str">
            <v>Methoxychlor</v>
          </cell>
          <cell r="F3246" t="str">
            <v>72-43-5</v>
          </cell>
        </row>
        <row r="3247">
          <cell r="E3247" t="str">
            <v>Perthane</v>
          </cell>
          <cell r="F3247" t="str">
            <v>72-56-0</v>
          </cell>
        </row>
        <row r="3248">
          <cell r="E3248" t="str">
            <v>1,2,3,7,8,9-Hexachlorodibenzofuran</v>
          </cell>
          <cell r="F3248" t="str">
            <v>72918-21-9</v>
          </cell>
        </row>
        <row r="3249">
          <cell r="E3249" t="str">
            <v>Iron</v>
          </cell>
          <cell r="F3249" t="str">
            <v>7439-89-6</v>
          </cell>
        </row>
        <row r="3250">
          <cell r="E3250" t="str">
            <v>Lead</v>
          </cell>
          <cell r="F3250" t="str">
            <v>7439-92-1</v>
          </cell>
        </row>
        <row r="3251">
          <cell r="E3251" t="str">
            <v>Lithium</v>
          </cell>
          <cell r="F3251" t="str">
            <v>7439-93-2</v>
          </cell>
        </row>
        <row r="3252">
          <cell r="E3252" t="str">
            <v>Magnesium</v>
          </cell>
          <cell r="F3252" t="str">
            <v>7439-95-4</v>
          </cell>
        </row>
        <row r="3253">
          <cell r="E3253" t="str">
            <v>Manganese</v>
          </cell>
          <cell r="F3253" t="str">
            <v>7439-96-5</v>
          </cell>
        </row>
        <row r="3254">
          <cell r="E3254" t="str">
            <v>Mercury</v>
          </cell>
          <cell r="F3254" t="str">
            <v>7439-97-6</v>
          </cell>
        </row>
        <row r="3255">
          <cell r="E3255" t="str">
            <v>Molybdenum</v>
          </cell>
          <cell r="F3255" t="str">
            <v>7439-98-7</v>
          </cell>
        </row>
        <row r="3256">
          <cell r="E3256" t="str">
            <v>Nickel</v>
          </cell>
          <cell r="F3256" t="str">
            <v>7440-02-0</v>
          </cell>
        </row>
        <row r="3257">
          <cell r="E3257" t="str">
            <v>Titanium</v>
          </cell>
          <cell r="F3257" t="str">
            <v>7440-32-6</v>
          </cell>
        </row>
        <row r="3258">
          <cell r="E3258" t="str">
            <v>Uranium-238</v>
          </cell>
          <cell r="F3258" t="str">
            <v>7440-61-1</v>
          </cell>
        </row>
        <row r="3259">
          <cell r="E3259" t="str">
            <v>Vanadium</v>
          </cell>
          <cell r="F3259" t="str">
            <v>7440-62-2</v>
          </cell>
        </row>
        <row r="3260">
          <cell r="E3260" t="str">
            <v>Yttrium</v>
          </cell>
          <cell r="F3260" t="str">
            <v>7440-65-5</v>
          </cell>
        </row>
        <row r="3261">
          <cell r="E3261" t="str">
            <v>Zinc</v>
          </cell>
          <cell r="F3261" t="str">
            <v>7440-66-6</v>
          </cell>
        </row>
        <row r="3262">
          <cell r="E3262" t="str">
            <v>Zirconium</v>
          </cell>
          <cell r="F3262" t="str">
            <v>7440-67-7</v>
          </cell>
        </row>
        <row r="3263">
          <cell r="E3263" t="str">
            <v>Methane</v>
          </cell>
          <cell r="F3263" t="str">
            <v>74-82-8</v>
          </cell>
        </row>
        <row r="3264">
          <cell r="E3264" t="str">
            <v>Methyl mercaptan</v>
          </cell>
          <cell r="F3264" t="str">
            <v>74-93-1</v>
          </cell>
        </row>
        <row r="3265">
          <cell r="E3265" t="str">
            <v>Vinyl chloride</v>
          </cell>
          <cell r="F3265" t="str">
            <v>75-01-4</v>
          </cell>
        </row>
        <row r="3266">
          <cell r="E3266" t="str">
            <v>Monoethylamine</v>
          </cell>
          <cell r="F3266" t="str">
            <v>75-04-7</v>
          </cell>
        </row>
        <row r="3267">
          <cell r="E3267" t="str">
            <v>Ethyl mercaptan</v>
          </cell>
          <cell r="F3267" t="str">
            <v>75-08-1</v>
          </cell>
        </row>
        <row r="3268">
          <cell r="E3268" t="str">
            <v>Methylene chloride</v>
          </cell>
          <cell r="F3268" t="str">
            <v>75-09-2</v>
          </cell>
        </row>
        <row r="3269">
          <cell r="E3269" t="str">
            <v>Ethylene oxide</v>
          </cell>
          <cell r="F3269" t="str">
            <v>75-21-8</v>
          </cell>
        </row>
        <row r="3270">
          <cell r="E3270" t="str">
            <v>Isobutane</v>
          </cell>
          <cell r="F3270" t="str">
            <v>75-28-5</v>
          </cell>
        </row>
        <row r="3271">
          <cell r="E3271" t="str">
            <v>1,1-Dichloroethane</v>
          </cell>
          <cell r="F3271" t="str">
            <v>75-34-3</v>
          </cell>
        </row>
        <row r="3272">
          <cell r="E3272" t="str">
            <v>1,1-Dichloroethene</v>
          </cell>
          <cell r="F3272" t="str">
            <v>75-35-4</v>
          </cell>
        </row>
        <row r="3273">
          <cell r="E3273" t="str">
            <v>1,1-Difluoroethane</v>
          </cell>
          <cell r="F3273" t="str">
            <v>75-37-6</v>
          </cell>
        </row>
        <row r="3274">
          <cell r="E3274" t="str">
            <v>Trimethylamine</v>
          </cell>
          <cell r="F3274" t="str">
            <v>75-50-3</v>
          </cell>
        </row>
        <row r="3275">
          <cell r="E3275" t="str">
            <v>Trichlorofluoromethane</v>
          </cell>
          <cell r="F3275" t="str">
            <v>75-69-4</v>
          </cell>
        </row>
        <row r="3276">
          <cell r="E3276" t="str">
            <v>Pentachloroethane</v>
          </cell>
          <cell r="F3276" t="str">
            <v>76-01-7</v>
          </cell>
        </row>
        <row r="3277">
          <cell r="E3277" t="str">
            <v>1,1,2-Trichloro-1,2,2-trifluoroethane</v>
          </cell>
          <cell r="F3277" t="str">
            <v>76-13-1</v>
          </cell>
        </row>
        <row r="3278">
          <cell r="E3278" t="str">
            <v>1,2-Dichloro-1,1,2,2-tetrafluoroethane</v>
          </cell>
          <cell r="F3278" t="str">
            <v>76-14-2</v>
          </cell>
        </row>
        <row r="3279">
          <cell r="E3279" t="str">
            <v>1,4-Dichloro-2-butene, Total</v>
          </cell>
          <cell r="F3279" t="str">
            <v>764-41-0</v>
          </cell>
        </row>
        <row r="3280">
          <cell r="E3280" t="str">
            <v>Hydrochloric Acid (Hydrogen Chloride)</v>
          </cell>
          <cell r="F3280" t="str">
            <v>7647-01-0</v>
          </cell>
        </row>
        <row r="3281">
          <cell r="E3281" t="str">
            <v>Hydrofluoric acid</v>
          </cell>
          <cell r="F3281" t="str">
            <v>7664-39-3</v>
          </cell>
        </row>
        <row r="3282">
          <cell r="E3282" t="str">
            <v>Nitric Acid</v>
          </cell>
          <cell r="F3282" t="str">
            <v>7697-37-2</v>
          </cell>
        </row>
        <row r="3283">
          <cell r="E3283" t="str">
            <v>Phosphorus, Total (as P)</v>
          </cell>
          <cell r="F3283" t="str">
            <v>7723-14-0</v>
          </cell>
        </row>
        <row r="3284">
          <cell r="E3284" t="str">
            <v>Nitrogen</v>
          </cell>
          <cell r="F3284" t="str">
            <v>7727-37-9</v>
          </cell>
        </row>
        <row r="3285">
          <cell r="E3285" t="str">
            <v>Oxygen</v>
          </cell>
          <cell r="F3285" t="str">
            <v>7782-44-7</v>
          </cell>
        </row>
        <row r="3286">
          <cell r="E3286" t="str">
            <v>Mevinphos</v>
          </cell>
          <cell r="F3286" t="str">
            <v>7786-34-7</v>
          </cell>
        </row>
        <row r="3287">
          <cell r="E3287" t="str">
            <v>Isophorone</v>
          </cell>
          <cell r="F3287" t="str">
            <v>78-59-1</v>
          </cell>
        </row>
        <row r="3288">
          <cell r="E3288" t="str">
            <v>1,2-Dibromopropane</v>
          </cell>
          <cell r="F3288" t="str">
            <v>78-75-1</v>
          </cell>
        </row>
        <row r="3289">
          <cell r="E3289" t="str">
            <v>Isobutanol</v>
          </cell>
          <cell r="F3289" t="str">
            <v>78-83-1</v>
          </cell>
        </row>
        <row r="3290">
          <cell r="E3290" t="str">
            <v>1,2-Dichloropropane</v>
          </cell>
          <cell r="F3290" t="str">
            <v>78-87-5</v>
          </cell>
        </row>
        <row r="3291">
          <cell r="E3291" t="str">
            <v>1,1,2-Trichloroethane</v>
          </cell>
          <cell r="F3291" t="str">
            <v>79-00-5</v>
          </cell>
        </row>
        <row r="3292">
          <cell r="E3292" t="str">
            <v>Trichloroethene (TCE)</v>
          </cell>
          <cell r="F3292" t="str">
            <v>79-01-6</v>
          </cell>
        </row>
        <row r="3293">
          <cell r="E3293" t="str">
            <v>1,1,2,2-Tetrachloroethane</v>
          </cell>
          <cell r="F3293" t="str">
            <v>79-34-5</v>
          </cell>
        </row>
        <row r="3294">
          <cell r="E3294" t="str">
            <v>Toxaphene</v>
          </cell>
          <cell r="F3294" t="str">
            <v>8001-35-2</v>
          </cell>
        </row>
        <row r="3295">
          <cell r="E3295" t="str">
            <v>Total Petroleum Hydrocarbons (TPH) as JP-5</v>
          </cell>
          <cell r="F3295" t="str">
            <v>8008-20-6</v>
          </cell>
        </row>
        <row r="3296">
          <cell r="E3296" t="str">
            <v>Naphtha distillate</v>
          </cell>
          <cell r="F3296" t="str">
            <v>8030-30-6</v>
          </cell>
        </row>
        <row r="3297">
          <cell r="E3297" t="str">
            <v>alpha-Pinene</v>
          </cell>
          <cell r="F3297" t="str">
            <v>80-56-8</v>
          </cell>
        </row>
        <row r="3298">
          <cell r="E3298" t="str">
            <v>Methylmethacrylate</v>
          </cell>
          <cell r="F3298" t="str">
            <v>80-62-6</v>
          </cell>
        </row>
        <row r="3299">
          <cell r="E3299" t="str">
            <v>Pentachloronitrobenzene</v>
          </cell>
          <cell r="F3299" t="str">
            <v>82-68-8</v>
          </cell>
        </row>
        <row r="3300">
          <cell r="E3300" t="str">
            <v>1-Methylphenanthrene</v>
          </cell>
          <cell r="F3300" t="str">
            <v>832-69-9</v>
          </cell>
        </row>
        <row r="3301">
          <cell r="E3301" t="str">
            <v>o-Terphenyl</v>
          </cell>
          <cell r="F3301" t="str">
            <v>84-15-1</v>
          </cell>
        </row>
        <row r="3302">
          <cell r="E3302" t="str">
            <v>Phthalic anhydride</v>
          </cell>
          <cell r="F3302" t="str">
            <v>85-44-9</v>
          </cell>
        </row>
        <row r="3303">
          <cell r="E3303" t="str">
            <v>n-Nitrosodiphenylamine</v>
          </cell>
          <cell r="F3303" t="str">
            <v>86-30-6</v>
          </cell>
        </row>
        <row r="3304">
          <cell r="E3304" t="str">
            <v>1,2,3-Trichlorobenzene</v>
          </cell>
          <cell r="F3304" t="str">
            <v>87-61-6</v>
          </cell>
        </row>
        <row r="3305">
          <cell r="E3305" t="str">
            <v>Pentachlorophenol</v>
          </cell>
          <cell r="F3305" t="str">
            <v>87-86-5</v>
          </cell>
        </row>
        <row r="3306">
          <cell r="E3306" t="str">
            <v>Picric Acid</v>
          </cell>
          <cell r="F3306" t="str">
            <v>88-89-1</v>
          </cell>
        </row>
        <row r="3307">
          <cell r="E3307" t="str">
            <v>o-Anisidine</v>
          </cell>
          <cell r="F3307" t="str">
            <v>90-04-0</v>
          </cell>
        </row>
        <row r="3308">
          <cell r="E3308" t="str">
            <v>1-Methylnaphthalene</v>
          </cell>
          <cell r="F3308" t="str">
            <v>90-12-0</v>
          </cell>
        </row>
        <row r="3309">
          <cell r="E3309" t="str">
            <v>1-Chloronaphthalene</v>
          </cell>
          <cell r="F3309" t="str">
            <v>90-13-1</v>
          </cell>
        </row>
        <row r="3310">
          <cell r="E3310" t="str">
            <v>Naphthalene</v>
          </cell>
          <cell r="F3310" t="str">
            <v>91-20-3</v>
          </cell>
        </row>
        <row r="3311">
          <cell r="E3311" t="str">
            <v>Methapyrilene</v>
          </cell>
          <cell r="F3311" t="str">
            <v>91-80-5</v>
          </cell>
        </row>
        <row r="3312">
          <cell r="E3312" t="str">
            <v>m-Terphenyl</v>
          </cell>
          <cell r="F3312" t="str">
            <v>92-06-8</v>
          </cell>
        </row>
        <row r="3313">
          <cell r="E3313" t="str">
            <v>n-Nitroso-di-n-butylamine</v>
          </cell>
          <cell r="F3313" t="str">
            <v>924-16-3</v>
          </cell>
        </row>
        <row r="3314">
          <cell r="E3314" t="str">
            <v>n-Nitrosopyrrolidine</v>
          </cell>
          <cell r="F3314" t="str">
            <v>930-55-2</v>
          </cell>
        </row>
        <row r="3315">
          <cell r="E3315" t="str">
            <v>MCPP (2-(2-methyl-4-chlorophenoxy) propanoic acid)</v>
          </cell>
          <cell r="F3315" t="str">
            <v>93-65-2</v>
          </cell>
        </row>
        <row r="3316">
          <cell r="E3316" t="str">
            <v>Jet Fuel</v>
          </cell>
          <cell r="F3316" t="str">
            <v>94114-58-6</v>
          </cell>
        </row>
        <row r="3317">
          <cell r="E3317" t="str">
            <v>MCPA (2-Methyl-4-chlorophenoxy acetic acid)</v>
          </cell>
          <cell r="F3317" t="str">
            <v>94-74-6</v>
          </cell>
        </row>
        <row r="3318">
          <cell r="E3318" t="str">
            <v>Indene</v>
          </cell>
          <cell r="F3318" t="str">
            <v>95-13-6</v>
          </cell>
        </row>
        <row r="3319">
          <cell r="E3319" t="str">
            <v>o-Xylene</v>
          </cell>
          <cell r="F3319" t="str">
            <v>95-47-6</v>
          </cell>
        </row>
        <row r="3320">
          <cell r="E3320" t="str">
            <v>1,2-Dichlorobenzene</v>
          </cell>
          <cell r="F3320" t="str">
            <v>95-50-1</v>
          </cell>
        </row>
        <row r="3321">
          <cell r="E3321" t="str">
            <v>2-Chloroaniline</v>
          </cell>
          <cell r="F3321" t="str">
            <v>95-51-2</v>
          </cell>
        </row>
        <row r="3322">
          <cell r="E3322" t="str">
            <v>o-Toluidine</v>
          </cell>
          <cell r="F3322" t="str">
            <v>95-53-4</v>
          </cell>
        </row>
        <row r="3323">
          <cell r="E3323" t="str">
            <v>1,2,4-Trimethylbenzene</v>
          </cell>
          <cell r="F3323" t="str">
            <v>95-63-6</v>
          </cell>
        </row>
        <row r="3324">
          <cell r="E3324" t="str">
            <v>1,2,4,5-Tetramethylbenzene</v>
          </cell>
          <cell r="F3324" t="str">
            <v>95-93-2</v>
          </cell>
        </row>
        <row r="3325">
          <cell r="E3325" t="str">
            <v>1,2,4,5-Tetrachlorobenzene</v>
          </cell>
          <cell r="F3325" t="str">
            <v>95-94-3</v>
          </cell>
        </row>
        <row r="3326">
          <cell r="E3326" t="str">
            <v>1,2-Dibromo-3-chloropropane</v>
          </cell>
          <cell r="F3326" t="str">
            <v>96-12-8</v>
          </cell>
        </row>
        <row r="3327">
          <cell r="E3327" t="str">
            <v>1,2,3-Trichloropropane</v>
          </cell>
          <cell r="F3327" t="str">
            <v>96-18-4</v>
          </cell>
        </row>
        <row r="3328">
          <cell r="E3328" t="str">
            <v>1,2,3-Trichloropropene</v>
          </cell>
          <cell r="F3328" t="str">
            <v>96-19-5</v>
          </cell>
        </row>
        <row r="3329">
          <cell r="E3329" t="str">
            <v>1,3-Dichloro-2-propanol</v>
          </cell>
          <cell r="F3329" t="str">
            <v>96-23-1</v>
          </cell>
        </row>
        <row r="3330">
          <cell r="E3330" t="str">
            <v>Methyl acrylate</v>
          </cell>
          <cell r="F3330" t="str">
            <v>96-33-3</v>
          </cell>
        </row>
        <row r="3331">
          <cell r="E3331" t="str">
            <v>Ethylene thiourea (ETU)</v>
          </cell>
          <cell r="F3331" t="str">
            <v>96-45-7</v>
          </cell>
        </row>
        <row r="3332">
          <cell r="E3332" t="str">
            <v>Ethyl methacrylate</v>
          </cell>
          <cell r="F3332" t="str">
            <v>97-63-2</v>
          </cell>
        </row>
        <row r="3333">
          <cell r="E3333" t="str">
            <v>Trifluorotoluene</v>
          </cell>
          <cell r="F3333" t="str">
            <v>98-08-8</v>
          </cell>
        </row>
        <row r="3334">
          <cell r="E3334" t="str">
            <v>Isopropylbenzene</v>
          </cell>
          <cell r="F3334" t="str">
            <v>98-82-8</v>
          </cell>
        </row>
        <row r="3335">
          <cell r="E3335" t="str">
            <v>Nitrobenzene</v>
          </cell>
          <cell r="F3335" t="str">
            <v>98-95-3</v>
          </cell>
        </row>
        <row r="3336">
          <cell r="E3336" t="str">
            <v>1,3,5-Trinitrobenzene</v>
          </cell>
          <cell r="F3336" t="str">
            <v>99-35-4</v>
          </cell>
        </row>
        <row r="3337">
          <cell r="E3337" t="str">
            <v>1,3-Dinitrobenzene</v>
          </cell>
          <cell r="F3337" t="str">
            <v>99-65-0</v>
          </cell>
        </row>
        <row r="3338">
          <cell r="E3338" t="str">
            <v>C10-C12 Aliphatics</v>
          </cell>
          <cell r="F3338" t="str">
            <v>AL_C10C12</v>
          </cell>
        </row>
        <row r="3339">
          <cell r="E3339" t="str">
            <v>C10-C24 Aliphatics</v>
          </cell>
          <cell r="F3339" t="str">
            <v>AL_C10C24</v>
          </cell>
        </row>
        <row r="3340">
          <cell r="E3340" t="str">
            <v>C10-C25 Aliphatics</v>
          </cell>
          <cell r="F3340" t="str">
            <v>AL_C10C25</v>
          </cell>
        </row>
        <row r="3341">
          <cell r="E3341" t="str">
            <v>C16-C21 Aliphatics</v>
          </cell>
          <cell r="F3341" t="str">
            <v>AL_C16C21</v>
          </cell>
        </row>
        <row r="3342">
          <cell r="E3342" t="str">
            <v>C21-C34 Aliphatics</v>
          </cell>
          <cell r="F3342" t="str">
            <v>AL_C21C34</v>
          </cell>
        </row>
        <row r="3343">
          <cell r="E3343" t="str">
            <v>C5-C6 Aliphatics</v>
          </cell>
          <cell r="F3343" t="str">
            <v>AL_C5C6</v>
          </cell>
        </row>
        <row r="3344">
          <cell r="E3344" t="str">
            <v>C5-C8 Aliphatics (Adjusted baseline)</v>
          </cell>
          <cell r="F3344" t="str">
            <v>AL_C5C8</v>
          </cell>
        </row>
        <row r="3345">
          <cell r="E3345" t="str">
            <v>C6-C10 Aliphatics</v>
          </cell>
          <cell r="F3345" t="str">
            <v>AL_C6C10</v>
          </cell>
        </row>
        <row r="3346">
          <cell r="E3346" t="str">
            <v>C6-C8 Aliphatics</v>
          </cell>
          <cell r="F3346" t="str">
            <v>AL_C6C8</v>
          </cell>
        </row>
        <row r="3347">
          <cell r="E3347" t="str">
            <v>C8-C10 Aliphatics</v>
          </cell>
          <cell r="F3347" t="str">
            <v>AL_C8C10</v>
          </cell>
        </row>
        <row r="3348">
          <cell r="E3348" t="str">
            <v>C10-C12 Aromatics</v>
          </cell>
          <cell r="F3348" t="str">
            <v>AR_C10C12</v>
          </cell>
        </row>
        <row r="3349">
          <cell r="E3349" t="str">
            <v>C10-C24 Aromatics</v>
          </cell>
          <cell r="F3349" t="str">
            <v>AR_C10C24</v>
          </cell>
        </row>
        <row r="3350">
          <cell r="E3350" t="str">
            <v>C10-C25 Aromatics</v>
          </cell>
          <cell r="F3350" t="str">
            <v>AR_C10C25</v>
          </cell>
        </row>
        <row r="3351">
          <cell r="E3351" t="str">
            <v>C12-C13 Aromatics</v>
          </cell>
          <cell r="F3351" t="str">
            <v>AR_C12C13</v>
          </cell>
        </row>
        <row r="3352">
          <cell r="E3352" t="str">
            <v>C12-C16 Aromatics</v>
          </cell>
          <cell r="F3352" t="str">
            <v>AR_C12C16</v>
          </cell>
        </row>
        <row r="3353">
          <cell r="E3353" t="str">
            <v>C16-C21 Aromatics</v>
          </cell>
          <cell r="F3353" t="str">
            <v>AR_C16C21</v>
          </cell>
        </row>
        <row r="3354">
          <cell r="E3354" t="str">
            <v>C21-C34 Aromatics</v>
          </cell>
          <cell r="F3354" t="str">
            <v>AR_C21C34</v>
          </cell>
        </row>
        <row r="3355">
          <cell r="E3355" t="str">
            <v>C25-C36 Aromatics</v>
          </cell>
          <cell r="F3355" t="str">
            <v>AR_C25C36</v>
          </cell>
        </row>
        <row r="3356">
          <cell r="E3356" t="str">
            <v>C6-C10 Aromatics</v>
          </cell>
          <cell r="F3356" t="str">
            <v>AR_C6C10</v>
          </cell>
        </row>
        <row r="3357">
          <cell r="E3357" t="str">
            <v>C8-C10 Aromatics</v>
          </cell>
          <cell r="F3357" t="str">
            <v>AR_C8C10</v>
          </cell>
        </row>
        <row r="3358">
          <cell r="E3358" t="str">
            <v>C9-C10 Aromatics</v>
          </cell>
          <cell r="F3358" t="str">
            <v>AR_C9C10</v>
          </cell>
        </row>
        <row r="3359">
          <cell r="E3359" t="str">
            <v>Conductivity</v>
          </cell>
          <cell r="F3359" t="str">
            <v>HC</v>
          </cell>
        </row>
        <row r="3360">
          <cell r="E3360" t="str">
            <v>Ignitability</v>
          </cell>
          <cell r="F3360" t="str">
            <v>IGNITE</v>
          </cell>
        </row>
        <row r="3361">
          <cell r="E3361" t="str">
            <v>Percent Moisture</v>
          </cell>
          <cell r="F3361" t="str">
            <v>MC</v>
          </cell>
        </row>
        <row r="3362">
          <cell r="E3362" t="str">
            <v>Xylene, Isomers m &amp; p</v>
          </cell>
          <cell r="F3362" t="str">
            <v>MP-XYL</v>
          </cell>
        </row>
        <row r="3363">
          <cell r="E3363" t="str">
            <v>Nitrogen, Nitrate (as N)</v>
          </cell>
          <cell r="F3363" t="str">
            <v>NITRATE-N</v>
          </cell>
        </row>
        <row r="3364">
          <cell r="E3364" t="str">
            <v>Nitrogen, Nitrite</v>
          </cell>
          <cell r="F3364" t="str">
            <v>NITRITE-N</v>
          </cell>
        </row>
        <row r="3365">
          <cell r="E3365" t="str">
            <v>Nitrogen, Nitrate-Nitrite</v>
          </cell>
          <cell r="F3365" t="str">
            <v>NO3NO2N</v>
          </cell>
        </row>
        <row r="3366">
          <cell r="E3366" t="str">
            <v>Oil and Grease</v>
          </cell>
          <cell r="F3366" t="str">
            <v>O&amp;G</v>
          </cell>
        </row>
        <row r="3367">
          <cell r="E3367" t="str">
            <v>Organic Lead</v>
          </cell>
          <cell r="F3367" t="str">
            <v>ORG PB</v>
          </cell>
        </row>
        <row r="3368">
          <cell r="E3368" t="str">
            <v>Oxidation-Reduction Potential</v>
          </cell>
          <cell r="F3368" t="str">
            <v>ORP</v>
          </cell>
        </row>
        <row r="3369">
          <cell r="E3369" t="str">
            <v>Total Lipids</v>
          </cell>
          <cell r="F3369" t="str">
            <v>PERCENT LIPIDS</v>
          </cell>
        </row>
        <row r="3370">
          <cell r="E3370" t="str">
            <v>Solids, Percent</v>
          </cell>
          <cell r="F3370" t="str">
            <v>PERCENT SOLIDS</v>
          </cell>
        </row>
        <row r="3371">
          <cell r="E3371" t="str">
            <v>pH</v>
          </cell>
          <cell r="F3371" t="str">
            <v>pH</v>
          </cell>
        </row>
        <row r="3372">
          <cell r="E3372" t="str">
            <v>Total Petroleum Hydrocarbons (TPH) (C10-C28)</v>
          </cell>
          <cell r="F3372" t="str">
            <v>PHCC10C28</v>
          </cell>
        </row>
        <row r="3373">
          <cell r="E3373" t="str">
            <v>Total Petroleum Hydrocarbons (TPH) (C11-C12)</v>
          </cell>
          <cell r="F3373" t="str">
            <v>PHCC11C12</v>
          </cell>
        </row>
        <row r="3374">
          <cell r="E3374" t="str">
            <v>Total Petroleum Hydrocarbons (TPH) (C13-C14)</v>
          </cell>
          <cell r="F3374" t="str">
            <v>PHCC13C14</v>
          </cell>
        </row>
        <row r="3375">
          <cell r="E3375" t="str">
            <v>Total Petroleum Hydrocarbons (TPH) (C15-C16)</v>
          </cell>
          <cell r="F3375" t="str">
            <v>PHCC15C16</v>
          </cell>
        </row>
        <row r="3376">
          <cell r="E3376" t="str">
            <v>Total Petroleum Hydrocarbons (TPH) (C17-C18)</v>
          </cell>
          <cell r="F3376" t="str">
            <v>PHCC17C18</v>
          </cell>
        </row>
        <row r="3377">
          <cell r="E3377" t="str">
            <v>Total Petroleum Hydrocarbons (TPH) (C19-C20)</v>
          </cell>
          <cell r="F3377" t="str">
            <v>PHCC19C20</v>
          </cell>
        </row>
        <row r="3378">
          <cell r="E3378" t="str">
            <v>Total Petroleum Hydrocarbons (TPH) (C21-C22)</v>
          </cell>
          <cell r="F3378" t="str">
            <v>PHCC21C22</v>
          </cell>
        </row>
        <row r="3379">
          <cell r="E3379" t="str">
            <v>Total Petroleum Hydrocarbons (TPH) (C23-C24)</v>
          </cell>
          <cell r="F3379" t="str">
            <v>PHCC23C24</v>
          </cell>
        </row>
        <row r="3380">
          <cell r="E3380" t="str">
            <v>Total Petroleum Hydrocarbons (TPH) (C25-C28)</v>
          </cell>
          <cell r="F3380" t="str">
            <v>PHCC25C28</v>
          </cell>
        </row>
        <row r="3381">
          <cell r="E3381" t="str">
            <v>Total Petroleum Hydrocarbons (TPH) (C28-C40)</v>
          </cell>
          <cell r="F3381" t="str">
            <v>PHCC28C40</v>
          </cell>
        </row>
        <row r="3382">
          <cell r="E3382" t="str">
            <v>Total Petroleum Hydrocarbons (TPH) (C29-C32)</v>
          </cell>
          <cell r="F3382" t="str">
            <v>PHCC29C32</v>
          </cell>
        </row>
        <row r="3383">
          <cell r="E3383" t="str">
            <v>Total Petroleum Hydrocarbons (TPH) (C33-C36)</v>
          </cell>
          <cell r="F3383" t="str">
            <v>PHCC33C36</v>
          </cell>
        </row>
        <row r="3384">
          <cell r="E3384" t="str">
            <v>Total Petroleum Hydrocarbons (TPH) (C37-C40)</v>
          </cell>
          <cell r="F3384" t="str">
            <v>PHCC37C40</v>
          </cell>
        </row>
        <row r="3385">
          <cell r="E3385" t="str">
            <v>Total Petroleum Hydrocarbons (TPH) (C41-C44)</v>
          </cell>
          <cell r="F3385" t="str">
            <v>PHCC41C44</v>
          </cell>
        </row>
        <row r="3386">
          <cell r="E3386" t="str">
            <v>Total Petroleum Hydrocarbons (TPH) (C6)</v>
          </cell>
          <cell r="F3386" t="str">
            <v>PHCC6</v>
          </cell>
        </row>
        <row r="3387">
          <cell r="E3387" t="str">
            <v>Total Petroleum Hydrocarbons (TPH) (C6-C10)</v>
          </cell>
          <cell r="F3387" t="str">
            <v>PHCC6C10</v>
          </cell>
        </row>
        <row r="3388">
          <cell r="E3388" t="str">
            <v>Total Petroleum Hydrocarbons (TPH) (C6-C40)</v>
          </cell>
          <cell r="F3388" t="str">
            <v>PHCC6C40</v>
          </cell>
        </row>
        <row r="3389">
          <cell r="E3389" t="str">
            <v>Total Petroleum Hydrocarbons (TPH) (C6-C44)</v>
          </cell>
          <cell r="F3389" t="str">
            <v>PHCC6C44</v>
          </cell>
        </row>
        <row r="3390">
          <cell r="E3390" t="str">
            <v>Total Petroleum Hydrocarbons (TPH) (C7)</v>
          </cell>
          <cell r="F3390" t="str">
            <v>PHCC7</v>
          </cell>
        </row>
        <row r="3391">
          <cell r="E3391" t="str">
            <v>Total Petroleum Hydrocarbons (TPH) (C8)</v>
          </cell>
          <cell r="F3391" t="str">
            <v>PHCC8</v>
          </cell>
        </row>
        <row r="3392">
          <cell r="E3392" t="str">
            <v>Total Petroleum Hydrocarbons (TPH) (C9-C10)</v>
          </cell>
          <cell r="F3392" t="str">
            <v>PHCC9C10</v>
          </cell>
        </row>
        <row r="3393">
          <cell r="E3393" t="str">
            <v>Total Petroleum Hydrocarbons (TPH) as Diesel Fuel (TPHD)</v>
          </cell>
          <cell r="F3393" t="str">
            <v>PHCD</v>
          </cell>
        </row>
        <row r="3394">
          <cell r="E3394" t="str">
            <v>Total Petroleum Hydrocarbons (TPH) as Gasoline (TPHG)</v>
          </cell>
          <cell r="F3394" t="str">
            <v>PHCG</v>
          </cell>
        </row>
        <row r="3395">
          <cell r="E3395" t="str">
            <v>Total Petroleum Hydrocarbons (TPH) as Motor Oil</v>
          </cell>
          <cell r="F3395" t="str">
            <v>PHCMO</v>
          </cell>
        </row>
        <row r="3396">
          <cell r="E3396" t="str">
            <v>Coliform, Total</v>
          </cell>
          <cell r="F3396" t="str">
            <v>TCOLI</v>
          </cell>
        </row>
        <row r="3397">
          <cell r="E3397" t="str">
            <v>Total Dissolved Solids</v>
          </cell>
          <cell r="F3397" t="str">
            <v>TDS</v>
          </cell>
        </row>
        <row r="3398">
          <cell r="E3398" t="str">
            <v>Total Trihalomethanes</v>
          </cell>
          <cell r="F3398" t="str">
            <v>THM</v>
          </cell>
        </row>
        <row r="3399">
          <cell r="E3399" t="str">
            <v>Nitrogen, Kjeldahl, Total</v>
          </cell>
          <cell r="F3399" t="str">
            <v>TKN</v>
          </cell>
        </row>
        <row r="3400">
          <cell r="E3400" t="str">
            <v>Total Organic Carbon  (TOC)</v>
          </cell>
          <cell r="F3400" t="str">
            <v>TOC</v>
          </cell>
        </row>
        <row r="3401">
          <cell r="E3401" t="str">
            <v>Benzene, Toluene, Ethylbenzene, and Xylenes</v>
          </cell>
          <cell r="F3401" t="str">
            <v>TOTBTEX</v>
          </cell>
        </row>
        <row r="3402">
          <cell r="E3402" t="str">
            <v>Total Polychlorinatedbiphenyls</v>
          </cell>
          <cell r="F3402" t="str">
            <v>TOTPCB</v>
          </cell>
        </row>
        <row r="3403">
          <cell r="E3403" t="str">
            <v>Total Organic Halides (TOX)</v>
          </cell>
          <cell r="F3403" t="str">
            <v>TOX</v>
          </cell>
        </row>
        <row r="3404">
          <cell r="E3404" t="str">
            <v>Total Petroleum Hydrocarbons (TPH) as Aviation Gas</v>
          </cell>
          <cell r="F3404" t="str">
            <v>TPH-AVG</v>
          </cell>
        </row>
        <row r="3405">
          <cell r="E3405" t="str">
            <v>Diesel Range Organics (C12-C24)</v>
          </cell>
          <cell r="F3405" t="str">
            <v>TPH-DRO</v>
          </cell>
        </row>
        <row r="3406">
          <cell r="E3406" t="str">
            <v>Diesel Range Organics, Aliphatic</v>
          </cell>
          <cell r="F3406" t="str">
            <v>TPH-DRO AL</v>
          </cell>
        </row>
        <row r="3407">
          <cell r="E3407" t="str">
            <v>Diesel Range Organics, Aromatic</v>
          </cell>
          <cell r="F3407" t="str">
            <v>TPH-DRO AR</v>
          </cell>
        </row>
        <row r="3408">
          <cell r="E3408" t="str">
            <v>Total Petroleum Hydrocarbons (TPH) as Fuel Oil</v>
          </cell>
          <cell r="F3408" t="str">
            <v>TPH-FUEL</v>
          </cell>
        </row>
        <row r="3409">
          <cell r="E3409" t="str">
            <v>Gasoline and Light Range Organics (C4-C12)</v>
          </cell>
          <cell r="F3409" t="str">
            <v>TPH-GRO</v>
          </cell>
        </row>
        <row r="3410">
          <cell r="E3410" t="str">
            <v>Gasoline Range Organics, Aliphatic</v>
          </cell>
          <cell r="F3410" t="str">
            <v>TPH-GRO AL</v>
          </cell>
        </row>
        <row r="3411">
          <cell r="E3411" t="str">
            <v>Gasoline Range Organics, Aromatic</v>
          </cell>
          <cell r="F3411" t="str">
            <v>TPH-GRO AR</v>
          </cell>
        </row>
        <row r="3412">
          <cell r="E3412" t="str">
            <v>Total Petroleum Hydrocarbons (TPH) as Kerosene</v>
          </cell>
          <cell r="F3412" t="str">
            <v>TPH-KERO</v>
          </cell>
        </row>
        <row r="3413">
          <cell r="E3413" t="str">
            <v>Total Petroleum Hydrocarbons (TPH) as Lube Oil</v>
          </cell>
          <cell r="F3413" t="str">
            <v>TPH-LUBE</v>
          </cell>
        </row>
        <row r="3414">
          <cell r="E3414" t="str">
            <v>Total Petroleum Hydrocarbons (TPH) as Mineral Oil</v>
          </cell>
          <cell r="F3414" t="str">
            <v>TPH-MIN</v>
          </cell>
        </row>
        <row r="3415">
          <cell r="E3415" t="str">
            <v>Total Petroleum Hydrocarbons (TPH) as Stoddard Solvent</v>
          </cell>
          <cell r="F3415" t="str">
            <v>TPH-STOD</v>
          </cell>
        </row>
        <row r="3416">
          <cell r="E3416" t="str">
            <v>Total Volatile Petroleum Hydrocarbons (TVPH)</v>
          </cell>
          <cell r="F3416" t="str">
            <v>TPH-VOL</v>
          </cell>
        </row>
        <row r="3417">
          <cell r="E3417" t="str">
            <v>Petroleum Hydrocarbons, Total Recoverable</v>
          </cell>
          <cell r="F3417" t="str">
            <v>TRPH</v>
          </cell>
        </row>
        <row r="3418">
          <cell r="E3418" t="str">
            <v>Total Solids</v>
          </cell>
          <cell r="F3418" t="str">
            <v>TSOLIDS</v>
          </cell>
        </row>
        <row r="3419">
          <cell r="E3419" t="str">
            <v>Total Suspended Solids</v>
          </cell>
          <cell r="F3419" t="str">
            <v>TSS</v>
          </cell>
        </row>
        <row r="3420">
          <cell r="E3420" t="str">
            <v>Turbidity</v>
          </cell>
          <cell r="F3420" t="str">
            <v>TURB</v>
          </cell>
        </row>
        <row r="3421">
          <cell r="E3421" t="str">
            <v>1,2-Propylene glycol dinitrate</v>
          </cell>
          <cell r="F3421" t="str">
            <v>6423-43-4</v>
          </cell>
        </row>
        <row r="3422">
          <cell r="E3422" t="str">
            <v>2,2-Dichloro-1,1,1-trifluoroethane</v>
          </cell>
          <cell r="F3422" t="str">
            <v>306-83-2</v>
          </cell>
        </row>
        <row r="3423">
          <cell r="E3423" t="str">
            <v>2,4,5-TP (Silvex)</v>
          </cell>
          <cell r="F3423" t="str">
            <v>93-72-1</v>
          </cell>
        </row>
        <row r="3424">
          <cell r="E3424" t="str">
            <v>bis(2-Chloroisopropyl)ether</v>
          </cell>
          <cell r="F3424" t="str">
            <v>108-60-1</v>
          </cell>
        </row>
        <row r="3425">
          <cell r="E3425" t="str">
            <v>Dibenzofuran</v>
          </cell>
          <cell r="F3425" t="str">
            <v>132-64-9</v>
          </cell>
        </row>
        <row r="3426">
          <cell r="E3426" t="str">
            <v>Dibenzothiophene</v>
          </cell>
          <cell r="F3426" t="str">
            <v>132-65-0</v>
          </cell>
        </row>
        <row r="3427">
          <cell r="E3427" t="str">
            <v>Dibromoacetonitrile</v>
          </cell>
          <cell r="F3427" t="str">
            <v>124-48-1</v>
          </cell>
        </row>
        <row r="3428">
          <cell r="E3428" t="str">
            <v>Dibromodichloromethane</v>
          </cell>
          <cell r="F3428" t="str">
            <v>594-18-3</v>
          </cell>
        </row>
        <row r="3429">
          <cell r="E3429" t="str">
            <v>Dibromodifluoromethane</v>
          </cell>
          <cell r="F3429" t="str">
            <v>75-61-6</v>
          </cell>
        </row>
        <row r="3430">
          <cell r="E3430" t="str">
            <v>Dibromofluoromethane</v>
          </cell>
          <cell r="F3430" t="str">
            <v>1868-53-7</v>
          </cell>
        </row>
        <row r="3431">
          <cell r="E3431" t="str">
            <v>Dibromomethane</v>
          </cell>
          <cell r="F3431" t="str">
            <v>74-95-3</v>
          </cell>
        </row>
        <row r="3432">
          <cell r="E3432" t="str">
            <v>Dibutylchlorendate</v>
          </cell>
          <cell r="F3432" t="str">
            <v>1770-80-5</v>
          </cell>
        </row>
        <row r="3433">
          <cell r="E3433" t="str">
            <v>Dibutyltin</v>
          </cell>
          <cell r="F3433" t="str">
            <v>1002-53-5</v>
          </cell>
        </row>
        <row r="3434">
          <cell r="E3434" t="str">
            <v>Dicamba</v>
          </cell>
          <cell r="F3434" t="str">
            <v>1918-00-9</v>
          </cell>
        </row>
        <row r="3435">
          <cell r="E3435" t="str">
            <v>Dichlone</v>
          </cell>
          <cell r="F3435" t="str">
            <v>117-80-6</v>
          </cell>
        </row>
        <row r="3436">
          <cell r="E3436" t="str">
            <v>Dichloroacetic acid</v>
          </cell>
          <cell r="F3436" t="str">
            <v>79-43-6</v>
          </cell>
        </row>
        <row r="3437">
          <cell r="E3437" t="str">
            <v>Dichlorobiphenyl</v>
          </cell>
          <cell r="F3437" t="str">
            <v>25512-42-9</v>
          </cell>
        </row>
        <row r="3438">
          <cell r="E3438" t="str">
            <v>Dichlorodifluoromethane</v>
          </cell>
          <cell r="F3438" t="str">
            <v>75-71-8</v>
          </cell>
        </row>
        <row r="3439">
          <cell r="E3439" t="str">
            <v>Dichlorofluoromethane</v>
          </cell>
          <cell r="F3439" t="str">
            <v>75-43-4</v>
          </cell>
        </row>
        <row r="3440">
          <cell r="E3440" t="str">
            <v>Dichlorovos</v>
          </cell>
          <cell r="F3440" t="str">
            <v>62-73-7</v>
          </cell>
        </row>
        <row r="3441">
          <cell r="E3441" t="str">
            <v>Dichlorprop</v>
          </cell>
          <cell r="F3441" t="str">
            <v>120-36-5</v>
          </cell>
        </row>
        <row r="3442">
          <cell r="E3442" t="str">
            <v>Dicofol</v>
          </cell>
          <cell r="F3442" t="str">
            <v>115-32-2</v>
          </cell>
        </row>
        <row r="3443">
          <cell r="E3443" t="str">
            <v>Dieldrin</v>
          </cell>
          <cell r="F3443" t="str">
            <v>60-57-1</v>
          </cell>
        </row>
        <row r="3444">
          <cell r="E3444" t="str">
            <v>Diquat</v>
          </cell>
          <cell r="F3444" t="str">
            <v>85-00-7</v>
          </cell>
        </row>
        <row r="3445">
          <cell r="E3445" t="str">
            <v>Dissolved Organic Carbon</v>
          </cell>
          <cell r="F3445" t="str">
            <v>DOC</v>
          </cell>
        </row>
        <row r="3446">
          <cell r="E3446" t="str">
            <v>Disulfoton</v>
          </cell>
          <cell r="F3446" t="str">
            <v>298-04-4</v>
          </cell>
        </row>
        <row r="3447">
          <cell r="E3447" t="str">
            <v>Diuron</v>
          </cell>
          <cell r="F3447" t="str">
            <v>330-54-1</v>
          </cell>
        </row>
        <row r="3448">
          <cell r="E3448" t="str">
            <v>Docosane</v>
          </cell>
          <cell r="F3448" t="str">
            <v>629-97-0</v>
          </cell>
        </row>
        <row r="3449">
          <cell r="E3449" t="str">
            <v>Docosanoic acid</v>
          </cell>
          <cell r="F3449" t="str">
            <v>112-85-6</v>
          </cell>
        </row>
        <row r="3450">
          <cell r="E3450" t="str">
            <v>Dodecane</v>
          </cell>
          <cell r="F3450" t="str">
            <v>112-40-3</v>
          </cell>
        </row>
        <row r="3451">
          <cell r="E3451" t="str">
            <v>Dodecanoic acid</v>
          </cell>
          <cell r="F3451" t="str">
            <v>143-07-7</v>
          </cell>
        </row>
        <row r="3452">
          <cell r="E3452" t="str">
            <v>Dysprosium</v>
          </cell>
          <cell r="F3452" t="str">
            <v>7429-91-6</v>
          </cell>
        </row>
        <row r="3453">
          <cell r="E3453" t="str">
            <v>Eicosane</v>
          </cell>
          <cell r="F3453" t="str">
            <v>112-95-8</v>
          </cell>
        </row>
        <row r="3454">
          <cell r="E3454" t="str">
            <v>Endosulfan I</v>
          </cell>
          <cell r="F3454" t="str">
            <v>959-98-8</v>
          </cell>
        </row>
        <row r="3455">
          <cell r="E3455" t="str">
            <v>Endosulfan II</v>
          </cell>
          <cell r="F3455" t="str">
            <v>33213-65-9</v>
          </cell>
        </row>
        <row r="3456">
          <cell r="E3456" t="str">
            <v>Endosulfan sulfate</v>
          </cell>
          <cell r="F3456" t="str">
            <v>1031-07-8</v>
          </cell>
        </row>
        <row r="3457">
          <cell r="E3457" t="str">
            <v>Endosulfan, Total</v>
          </cell>
          <cell r="F3457" t="str">
            <v>115-29-7</v>
          </cell>
        </row>
        <row r="3458">
          <cell r="E3458" t="str">
            <v>Endothal</v>
          </cell>
          <cell r="F3458" t="str">
            <v>145-73-3</v>
          </cell>
        </row>
        <row r="3459">
          <cell r="E3459" t="str">
            <v>Endrin</v>
          </cell>
          <cell r="F3459" t="str">
            <v>72-20-8</v>
          </cell>
        </row>
        <row r="3460">
          <cell r="E3460" t="str">
            <v>Endrin aldehyde</v>
          </cell>
          <cell r="F3460" t="str">
            <v>7421-93-4</v>
          </cell>
        </row>
        <row r="3461">
          <cell r="E3461" t="str">
            <v>Endrin ketone</v>
          </cell>
          <cell r="F3461" t="str">
            <v>53494-70-5</v>
          </cell>
        </row>
        <row r="3462">
          <cell r="E3462" t="str">
            <v>Epichlorhydrin</v>
          </cell>
          <cell r="F3462" t="str">
            <v>106-89-8</v>
          </cell>
        </row>
        <row r="3463">
          <cell r="E3463" t="str">
            <v>EPN (O-Ethyl phenyl (p-nitrophenyl) thiophosphonate)</v>
          </cell>
          <cell r="F3463" t="str">
            <v>2104-64-5</v>
          </cell>
        </row>
        <row r="3464">
          <cell r="E3464" t="str">
            <v>Ethane</v>
          </cell>
          <cell r="F3464" t="str">
            <v>74-84-0</v>
          </cell>
        </row>
        <row r="3465">
          <cell r="E3465" t="str">
            <v>Ethanol (EtOH)</v>
          </cell>
          <cell r="F3465" t="str">
            <v>64-17-5</v>
          </cell>
        </row>
        <row r="3466">
          <cell r="E3466" t="str">
            <v>Ethion</v>
          </cell>
          <cell r="F3466" t="str">
            <v>563-12-2</v>
          </cell>
        </row>
        <row r="3467">
          <cell r="E3467" t="str">
            <v>Ethoprop</v>
          </cell>
          <cell r="F3467" t="str">
            <v>13194-48-4</v>
          </cell>
        </row>
        <row r="3468">
          <cell r="E3468" t="str">
            <v>Europium-152</v>
          </cell>
          <cell r="F3468" t="str">
            <v>14683-23-9</v>
          </cell>
        </row>
        <row r="3469">
          <cell r="E3469" t="str">
            <v>Europium-154</v>
          </cell>
          <cell r="F3469" t="str">
            <v>15585-10-1</v>
          </cell>
        </row>
        <row r="3470">
          <cell r="E3470" t="str">
            <v>Europium-155</v>
          </cell>
          <cell r="F3470" t="str">
            <v>14391-16-3</v>
          </cell>
        </row>
        <row r="3471">
          <cell r="E3471" t="str">
            <v>Famphur</v>
          </cell>
          <cell r="F3471" t="str">
            <v>52-85-7</v>
          </cell>
        </row>
        <row r="3472">
          <cell r="E3472" t="str">
            <v>Fecal Coliform</v>
          </cell>
          <cell r="F3472" t="str">
            <v>FCOLI</v>
          </cell>
        </row>
        <row r="3473">
          <cell r="E3473" t="str">
            <v>Fensulfothion</v>
          </cell>
          <cell r="F3473" t="str">
            <v>115-90-2</v>
          </cell>
        </row>
        <row r="3474">
          <cell r="E3474" t="str">
            <v>Fenthion</v>
          </cell>
          <cell r="F3474" t="str">
            <v>55-38-9</v>
          </cell>
        </row>
        <row r="3475">
          <cell r="E3475" t="str">
            <v>Fenuron</v>
          </cell>
          <cell r="F3475" t="str">
            <v>101-42-8</v>
          </cell>
        </row>
        <row r="3476">
          <cell r="E3476" t="str">
            <v>Flash Point</v>
          </cell>
          <cell r="F3476" t="str">
            <v>FLASHPT</v>
          </cell>
        </row>
        <row r="3477">
          <cell r="E3477" t="str">
            <v>Fluchloralin</v>
          </cell>
          <cell r="F3477" t="str">
            <v>33245-39-5</v>
          </cell>
        </row>
        <row r="3478">
          <cell r="E3478" t="str">
            <v>Fluometuron</v>
          </cell>
          <cell r="F3478" t="str">
            <v>2164-17-2</v>
          </cell>
        </row>
        <row r="3479">
          <cell r="E3479" t="str">
            <v>Fluoranthene</v>
          </cell>
          <cell r="F3479" t="str">
            <v>206-44-0</v>
          </cell>
        </row>
        <row r="3480">
          <cell r="E3480" t="str">
            <v>Fluorene</v>
          </cell>
          <cell r="F3480" t="str">
            <v>86-73-7</v>
          </cell>
        </row>
        <row r="3481">
          <cell r="E3481" t="str">
            <v>Fluoride</v>
          </cell>
          <cell r="F3481" t="str">
            <v>16984-48-8</v>
          </cell>
        </row>
        <row r="3482">
          <cell r="E3482" t="str">
            <v>Fluorine (soluble fluoride)</v>
          </cell>
          <cell r="F3482" t="str">
            <v>7782-41-4</v>
          </cell>
        </row>
        <row r="3483">
          <cell r="E3483" t="str">
            <v>Fluoroacetic acid</v>
          </cell>
          <cell r="F3483" t="str">
            <v>144-49-0</v>
          </cell>
        </row>
        <row r="3484">
          <cell r="E3484" t="str">
            <v>Fluorobenzene</v>
          </cell>
          <cell r="F3484" t="str">
            <v>462-06-6</v>
          </cell>
        </row>
        <row r="3485">
          <cell r="E3485" t="str">
            <v>Folpet</v>
          </cell>
          <cell r="F3485" t="str">
            <v>133-07-3</v>
          </cell>
        </row>
        <row r="3486">
          <cell r="E3486" t="str">
            <v>Formaldehyde</v>
          </cell>
          <cell r="F3486" t="str">
            <v>50-00-0</v>
          </cell>
        </row>
        <row r="3487">
          <cell r="E3487" t="str">
            <v>Formic acid</v>
          </cell>
          <cell r="F3487" t="str">
            <v>64-18-6</v>
          </cell>
        </row>
        <row r="3488">
          <cell r="E3488" t="str">
            <v>Furfural</v>
          </cell>
          <cell r="F3488" t="str">
            <v>98-01-1</v>
          </cell>
        </row>
        <row r="3489">
          <cell r="E3489" t="str">
            <v>Gadolinium-153</v>
          </cell>
          <cell r="F3489" t="str">
            <v>7440-54-2</v>
          </cell>
        </row>
        <row r="3490">
          <cell r="E3490" t="str">
            <v>gamma-BHC (Lindane)</v>
          </cell>
          <cell r="F3490" t="str">
            <v>58-89-9</v>
          </cell>
        </row>
        <row r="3491">
          <cell r="E3491" t="str">
            <v>gamma-Chlordane</v>
          </cell>
          <cell r="F3491" t="str">
            <v>5566-34-7</v>
          </cell>
        </row>
        <row r="3492">
          <cell r="E3492" t="str">
            <v>Gold</v>
          </cell>
          <cell r="F3492" t="str">
            <v>7440-57-5</v>
          </cell>
        </row>
        <row r="3493">
          <cell r="E3493" t="str">
            <v>Hardness as CaCO3</v>
          </cell>
          <cell r="F3493" t="str">
            <v>HARDNESS</v>
          </cell>
        </row>
        <row r="3494">
          <cell r="E3494" t="str">
            <v>Helium</v>
          </cell>
          <cell r="F3494" t="str">
            <v>7440-59-7</v>
          </cell>
        </row>
        <row r="3495">
          <cell r="E3495" t="str">
            <v>Heneicosane</v>
          </cell>
          <cell r="F3495" t="str">
            <v>629-94-7</v>
          </cell>
        </row>
        <row r="3496">
          <cell r="E3496" t="str">
            <v>Heptachlor</v>
          </cell>
          <cell r="F3496" t="str">
            <v>76-44-8</v>
          </cell>
        </row>
        <row r="3497">
          <cell r="E3497" t="str">
            <v>Heptachlor epoxide</v>
          </cell>
          <cell r="F3497" t="str">
            <v>1024-57-3</v>
          </cell>
        </row>
        <row r="3498">
          <cell r="E3498" t="str">
            <v>Heptachlorobiphenyl</v>
          </cell>
          <cell r="F3498" t="str">
            <v>28655-71-2</v>
          </cell>
        </row>
        <row r="3499">
          <cell r="E3499" t="str">
            <v>Heptacosane</v>
          </cell>
          <cell r="F3499" t="str">
            <v>593-49-7</v>
          </cell>
        </row>
        <row r="3500">
          <cell r="E3500" t="str">
            <v>Heptadecane</v>
          </cell>
          <cell r="F3500" t="str">
            <v>629-78-7</v>
          </cell>
        </row>
        <row r="3501">
          <cell r="E3501" t="str">
            <v>Heptanal</v>
          </cell>
          <cell r="F3501" t="str">
            <v>111-71-7</v>
          </cell>
        </row>
        <row r="3502">
          <cell r="E3502" t="str">
            <v>Heptane</v>
          </cell>
          <cell r="F3502" t="str">
            <v>142-82-5</v>
          </cell>
        </row>
        <row r="3503">
          <cell r="E3503" t="str">
            <v>Hexabromobenzene</v>
          </cell>
          <cell r="F3503" t="str">
            <v>87-82-1</v>
          </cell>
        </row>
        <row r="3504">
          <cell r="E3504" t="str">
            <v>Hexachlorobenzene</v>
          </cell>
          <cell r="F3504" t="str">
            <v>118-74-1</v>
          </cell>
        </row>
        <row r="3505">
          <cell r="E3505" t="str">
            <v>Hexachlorobiphenyl</v>
          </cell>
          <cell r="F3505" t="str">
            <v>26601-64-9</v>
          </cell>
        </row>
        <row r="3506">
          <cell r="E3506" t="str">
            <v>Hexachlorobutadiene</v>
          </cell>
          <cell r="F3506" t="str">
            <v>87-68-3</v>
          </cell>
        </row>
        <row r="3507">
          <cell r="E3507" t="str">
            <v>Hexachlorocyclopentadiene</v>
          </cell>
          <cell r="F3507" t="str">
            <v>77-47-4</v>
          </cell>
        </row>
        <row r="3508">
          <cell r="E3508" t="str">
            <v>Hexachloroethane</v>
          </cell>
          <cell r="F3508" t="str">
            <v>67-72-1</v>
          </cell>
        </row>
        <row r="3509">
          <cell r="E3509" t="str">
            <v>Hexachlorophene</v>
          </cell>
          <cell r="F3509" t="str">
            <v>70-30-4</v>
          </cell>
        </row>
        <row r="3510">
          <cell r="E3510" t="str">
            <v>Hexachloropropene</v>
          </cell>
          <cell r="F3510" t="str">
            <v>1888-71-7</v>
          </cell>
        </row>
        <row r="3511">
          <cell r="E3511" t="str">
            <v>Hexacosane</v>
          </cell>
          <cell r="F3511" t="str">
            <v>630-01-3</v>
          </cell>
        </row>
        <row r="3512">
          <cell r="E3512" t="str">
            <v>Hexadecane</v>
          </cell>
          <cell r="F3512" t="str">
            <v>544-76-3</v>
          </cell>
        </row>
        <row r="3513">
          <cell r="E3513" t="str">
            <v>Hexadecanoic acid</v>
          </cell>
          <cell r="F3513" t="str">
            <v>57-10-3</v>
          </cell>
        </row>
        <row r="3514">
          <cell r="E3514" t="str">
            <v>Hexanal</v>
          </cell>
          <cell r="F3514" t="str">
            <v>66-25-1</v>
          </cell>
        </row>
        <row r="3515">
          <cell r="E3515" t="str">
            <v>Hexane</v>
          </cell>
          <cell r="F3515" t="str">
            <v>110-54-3</v>
          </cell>
        </row>
        <row r="3516">
          <cell r="E3516" t="str">
            <v>Hexanoic Acid</v>
          </cell>
          <cell r="F3516" t="str">
            <v>142-62-1</v>
          </cell>
        </row>
        <row r="3517">
          <cell r="E3517" t="str">
            <v>Methyl-2,4,6-trinitrophenylnitramine</v>
          </cell>
          <cell r="F3517" t="str">
            <v>479-45-8</v>
          </cell>
        </row>
        <row r="3518">
          <cell r="E3518" t="str">
            <v>Naphthalene, 1,2,3,4-tetrahydro-</v>
          </cell>
          <cell r="F3518" t="str">
            <v>119-64-2</v>
          </cell>
        </row>
        <row r="3519">
          <cell r="E3519" t="str">
            <v>n-Propylamine</v>
          </cell>
          <cell r="F3519" t="str">
            <v>107-10-8</v>
          </cell>
        </row>
        <row r="3520">
          <cell r="E3520" t="str">
            <v>n-Propylbenzene</v>
          </cell>
          <cell r="F3520" t="str">
            <v>103-65-1</v>
          </cell>
        </row>
        <row r="3521">
          <cell r="E3521" t="str">
            <v>Oxygen, Dissolved</v>
          </cell>
          <cell r="F3521" t="str">
            <v>DO</v>
          </cell>
        </row>
        <row r="3522">
          <cell r="E3522" t="str">
            <v>PBDE-100</v>
          </cell>
          <cell r="F3522" t="str">
            <v>189084-64-8</v>
          </cell>
        </row>
        <row r="3523">
          <cell r="E3523" t="str">
            <v>PBDE-138</v>
          </cell>
          <cell r="F3523" t="str">
            <v>182677-30-1</v>
          </cell>
        </row>
        <row r="3524">
          <cell r="E3524" t="str">
            <v>PBDE-153</v>
          </cell>
          <cell r="F3524" t="str">
            <v>68631-49-2</v>
          </cell>
        </row>
        <row r="3525">
          <cell r="E3525" t="str">
            <v>PBDE-154</v>
          </cell>
          <cell r="F3525" t="str">
            <v>207122-15-4</v>
          </cell>
        </row>
        <row r="3526">
          <cell r="E3526" t="str">
            <v>PBDE-17</v>
          </cell>
          <cell r="F3526" t="str">
            <v>147217-75-2</v>
          </cell>
        </row>
        <row r="3527">
          <cell r="E3527" t="str">
            <v>PBDE-183</v>
          </cell>
          <cell r="F3527" t="str">
            <v>147217-75-3</v>
          </cell>
        </row>
        <row r="3528">
          <cell r="E3528" t="str">
            <v>PBDE-28</v>
          </cell>
          <cell r="F3528" t="str">
            <v>41318-75-6</v>
          </cell>
        </row>
        <row r="3529">
          <cell r="E3529" t="str">
            <v>PBDE-47</v>
          </cell>
          <cell r="F3529" t="str">
            <v>5436-43-1</v>
          </cell>
        </row>
        <row r="3530">
          <cell r="E3530" t="str">
            <v>PBDE-66</v>
          </cell>
          <cell r="F3530" t="str">
            <v>189084-61-5</v>
          </cell>
        </row>
        <row r="3531">
          <cell r="E3531" t="str">
            <v>PBDE-71</v>
          </cell>
          <cell r="F3531" t="str">
            <v>189084-62-6</v>
          </cell>
        </row>
        <row r="3532">
          <cell r="E3532" t="str">
            <v>PBDE-85</v>
          </cell>
          <cell r="F3532" t="str">
            <v>182346-21-0</v>
          </cell>
        </row>
        <row r="3533">
          <cell r="E3533" t="str">
            <v>PBDE-99</v>
          </cell>
          <cell r="F3533" t="str">
            <v>60348-60-9</v>
          </cell>
        </row>
        <row r="3534">
          <cell r="E3534" t="str">
            <v>Phosphoric acid</v>
          </cell>
          <cell r="F3534" t="str">
            <v>7664-38-2</v>
          </cell>
        </row>
        <row r="3535">
          <cell r="E3535" t="str">
            <v>Platinum</v>
          </cell>
          <cell r="F3535" t="str">
            <v>7440-06-4</v>
          </cell>
        </row>
        <row r="3536">
          <cell r="E3536" t="str">
            <v>Plutonium-239</v>
          </cell>
          <cell r="F3536" t="str">
            <v>15117-48-3</v>
          </cell>
        </row>
        <row r="3537">
          <cell r="E3537" t="str">
            <v>Potassium</v>
          </cell>
          <cell r="F3537" t="str">
            <v>7440-09-7</v>
          </cell>
        </row>
        <row r="3538">
          <cell r="E3538" t="str">
            <v>Potassium-40</v>
          </cell>
          <cell r="F3538" t="str">
            <v>13966-00-2</v>
          </cell>
        </row>
        <row r="3539">
          <cell r="E3539" t="str">
            <v>Prometon</v>
          </cell>
          <cell r="F3539" t="str">
            <v>1610-18-0</v>
          </cell>
        </row>
        <row r="3540">
          <cell r="E3540" t="str">
            <v>Pronamide</v>
          </cell>
          <cell r="F3540" t="str">
            <v>23950-58-5</v>
          </cell>
        </row>
        <row r="3541">
          <cell r="E3541" t="str">
            <v>Propachlor</v>
          </cell>
          <cell r="F3541" t="str">
            <v>1918-16-7</v>
          </cell>
        </row>
        <row r="3542">
          <cell r="E3542" t="str">
            <v>Propanal</v>
          </cell>
          <cell r="F3542" t="str">
            <v>123-38-6</v>
          </cell>
        </row>
        <row r="3543">
          <cell r="E3543" t="str">
            <v>Propane</v>
          </cell>
          <cell r="F3543" t="str">
            <v>74-98-6</v>
          </cell>
        </row>
        <row r="3544">
          <cell r="E3544" t="str">
            <v>Propargite</v>
          </cell>
          <cell r="F3544" t="str">
            <v>2312-35-8</v>
          </cell>
        </row>
        <row r="3545">
          <cell r="E3545" t="str">
            <v>Propazine</v>
          </cell>
          <cell r="F3545" t="str">
            <v>139-40-2</v>
          </cell>
        </row>
        <row r="3546">
          <cell r="E3546" t="str">
            <v>Propham</v>
          </cell>
          <cell r="F3546" t="str">
            <v>122-42-9</v>
          </cell>
        </row>
        <row r="3547">
          <cell r="E3547" t="str">
            <v>Propionitrile</v>
          </cell>
          <cell r="F3547" t="str">
            <v>107-12-0</v>
          </cell>
        </row>
        <row r="3548">
          <cell r="E3548" t="str">
            <v>Propylene</v>
          </cell>
          <cell r="F3548" t="str">
            <v>115-07-1</v>
          </cell>
        </row>
        <row r="3549">
          <cell r="E3549" t="str">
            <v>Propylene glycol</v>
          </cell>
          <cell r="F3549" t="str">
            <v>57-55-6</v>
          </cell>
        </row>
        <row r="3550">
          <cell r="E3550" t="str">
            <v>Propylene oxide</v>
          </cell>
          <cell r="F3550" t="str">
            <v>75-56-9</v>
          </cell>
        </row>
        <row r="3551">
          <cell r="E3551" t="str">
            <v>Propylthiouracil</v>
          </cell>
          <cell r="F3551" t="str">
            <v>51-52-5</v>
          </cell>
        </row>
        <row r="3552">
          <cell r="E3552" t="str">
            <v>Protactinium-234</v>
          </cell>
          <cell r="F3552" t="str">
            <v>15100-28-4</v>
          </cell>
        </row>
        <row r="3553">
          <cell r="E3553" t="str">
            <v>p-Terphenyl</v>
          </cell>
          <cell r="F3553" t="str">
            <v>92-94-4</v>
          </cell>
        </row>
        <row r="3554">
          <cell r="E3554" t="str">
            <v>p-Toluidine</v>
          </cell>
          <cell r="F3554" t="str">
            <v>106-49-0</v>
          </cell>
        </row>
        <row r="3555">
          <cell r="E3555" t="str">
            <v>p-Xylene</v>
          </cell>
          <cell r="F3555" t="str">
            <v>106-42-3</v>
          </cell>
        </row>
        <row r="3556">
          <cell r="E3556" t="str">
            <v>Pyrene</v>
          </cell>
          <cell r="F3556" t="str">
            <v>129-00-0</v>
          </cell>
        </row>
        <row r="3557">
          <cell r="E3557" t="str">
            <v>Pyridine</v>
          </cell>
          <cell r="F3557" t="str">
            <v>110-86-1</v>
          </cell>
        </row>
        <row r="3558">
          <cell r="E3558" t="str">
            <v>Pyruvic Acid</v>
          </cell>
          <cell r="F3558" t="str">
            <v>127-17-3</v>
          </cell>
        </row>
        <row r="3559">
          <cell r="E3559" t="str">
            <v>Radium</v>
          </cell>
          <cell r="F3559" t="str">
            <v>7440-14-4</v>
          </cell>
        </row>
        <row r="3560">
          <cell r="E3560" t="str">
            <v>Radium-224</v>
          </cell>
          <cell r="F3560" t="str">
            <v>13233-32-4</v>
          </cell>
        </row>
        <row r="3561">
          <cell r="E3561" t="str">
            <v>Radium-226</v>
          </cell>
          <cell r="F3561" t="str">
            <v>13982-63-3</v>
          </cell>
        </row>
        <row r="3562">
          <cell r="E3562" t="str">
            <v>Radium-228</v>
          </cell>
          <cell r="F3562" t="str">
            <v>15262-20-1</v>
          </cell>
        </row>
        <row r="3563">
          <cell r="E3563" t="str">
            <v>Radon-219</v>
          </cell>
          <cell r="F3563" t="str">
            <v>10043-92-2</v>
          </cell>
        </row>
        <row r="3564">
          <cell r="E3564" t="str">
            <v>Radon-222</v>
          </cell>
          <cell r="F3564" t="str">
            <v>14859-67-7</v>
          </cell>
        </row>
        <row r="3565">
          <cell r="E3565" t="str">
            <v>Ronnel</v>
          </cell>
          <cell r="F3565" t="str">
            <v>299-84-3</v>
          </cell>
        </row>
        <row r="3566">
          <cell r="E3566" t="str">
            <v>Rotenone</v>
          </cell>
          <cell r="F3566" t="str">
            <v>83-79-4</v>
          </cell>
        </row>
        <row r="3567">
          <cell r="E3567" t="str">
            <v>Ruthenium-106</v>
          </cell>
          <cell r="F3567" t="str">
            <v>13967-48-1</v>
          </cell>
        </row>
        <row r="3568">
          <cell r="E3568" t="str">
            <v>Safrole</v>
          </cell>
          <cell r="F3568" t="str">
            <v>94-59-7</v>
          </cell>
        </row>
        <row r="3569">
          <cell r="E3569" t="str">
            <v>Salinity</v>
          </cell>
          <cell r="F3569" t="str">
            <v>SAL</v>
          </cell>
        </row>
        <row r="3570">
          <cell r="E3570" t="str">
            <v>Scandium</v>
          </cell>
          <cell r="F3570" t="str">
            <v>13967-63-0</v>
          </cell>
        </row>
        <row r="3571">
          <cell r="E3571" t="str">
            <v>sec-Butylbenzene</v>
          </cell>
          <cell r="F3571" t="str">
            <v>135-98-8</v>
          </cell>
        </row>
        <row r="3572">
          <cell r="E3572" t="str">
            <v>Selenium</v>
          </cell>
          <cell r="F3572" t="str">
            <v>7782-49-2</v>
          </cell>
        </row>
        <row r="3573">
          <cell r="E3573" t="str">
            <v>Settleable Matter</v>
          </cell>
          <cell r="F3573" t="str">
            <v>SS</v>
          </cell>
        </row>
        <row r="3574">
          <cell r="E3574" t="str">
            <v>Siduron</v>
          </cell>
          <cell r="F3574" t="str">
            <v>1982-49-6</v>
          </cell>
        </row>
        <row r="3575">
          <cell r="E3575" t="str">
            <v>Silica</v>
          </cell>
          <cell r="F3575" t="str">
            <v>7631-86-9</v>
          </cell>
        </row>
        <row r="3576">
          <cell r="E3576" t="str">
            <v>Silicon</v>
          </cell>
          <cell r="F3576" t="str">
            <v>7440-21-3</v>
          </cell>
        </row>
        <row r="3577">
          <cell r="E3577" t="str">
            <v>Silver</v>
          </cell>
          <cell r="F3577" t="str">
            <v>7440-22-4</v>
          </cell>
        </row>
        <row r="3578">
          <cell r="E3578" t="str">
            <v>Simazine</v>
          </cell>
          <cell r="F3578" t="str">
            <v>122-34-9</v>
          </cell>
        </row>
        <row r="3579">
          <cell r="E3579" t="str">
            <v>Simetryn</v>
          </cell>
          <cell r="F3579" t="str">
            <v>1014-70-6</v>
          </cell>
        </row>
        <row r="3580">
          <cell r="E3580" t="str">
            <v>Sodium</v>
          </cell>
          <cell r="F3580" t="str">
            <v>7440-23-5</v>
          </cell>
        </row>
        <row r="3581">
          <cell r="E3581" t="str">
            <v>Sodium-22</v>
          </cell>
          <cell r="F3581" t="str">
            <v>13966-32-0</v>
          </cell>
        </row>
        <row r="3582">
          <cell r="E3582" t="str">
            <v>Specific Conductance</v>
          </cell>
          <cell r="F3582" t="str">
            <v>SC</v>
          </cell>
        </row>
        <row r="3583">
          <cell r="E3583" t="str">
            <v>Strontium</v>
          </cell>
          <cell r="F3583" t="str">
            <v>7440-24-6</v>
          </cell>
        </row>
        <row r="3584">
          <cell r="E3584" t="str">
            <v>Strontium-85</v>
          </cell>
          <cell r="F3584" t="str">
            <v>13967-73-2</v>
          </cell>
        </row>
        <row r="3585">
          <cell r="E3585" t="str">
            <v>Strontium-90</v>
          </cell>
          <cell r="F3585" t="str">
            <v>10098-97-2</v>
          </cell>
        </row>
        <row r="3586">
          <cell r="E3586" t="str">
            <v>Strychnine</v>
          </cell>
          <cell r="F3586" t="str">
            <v>57-24-9</v>
          </cell>
        </row>
        <row r="3587">
          <cell r="E3587" t="str">
            <v>Styrene</v>
          </cell>
          <cell r="F3587" t="str">
            <v>100-42-5</v>
          </cell>
        </row>
        <row r="3588">
          <cell r="E3588" t="str">
            <v>Sulfallate</v>
          </cell>
          <cell r="F3588" t="str">
            <v>95-06-7</v>
          </cell>
        </row>
        <row r="3589">
          <cell r="E3589" t="str">
            <v>Sulfate</v>
          </cell>
          <cell r="F3589" t="str">
            <v>14808-79-8</v>
          </cell>
        </row>
        <row r="3590">
          <cell r="E3590" t="str">
            <v>Sulfide</v>
          </cell>
          <cell r="F3590" t="str">
            <v>18496-25-8</v>
          </cell>
        </row>
        <row r="3591">
          <cell r="E3591" t="str">
            <v>Sulfite</v>
          </cell>
          <cell r="F3591" t="str">
            <v>14265-45-3</v>
          </cell>
        </row>
        <row r="3592">
          <cell r="E3592" t="str">
            <v>Sulfotep</v>
          </cell>
          <cell r="F3592" t="str">
            <v>3689-24-5</v>
          </cell>
        </row>
        <row r="3593">
          <cell r="E3593" t="str">
            <v>Sulfur</v>
          </cell>
          <cell r="F3593" t="str">
            <v>7704-34-9</v>
          </cell>
        </row>
        <row r="3594">
          <cell r="E3594" t="str">
            <v>Sulfur Dioxide</v>
          </cell>
          <cell r="F3594" t="str">
            <v>7446-09-5</v>
          </cell>
        </row>
        <row r="3595">
          <cell r="E3595" t="str">
            <v>Sulfuric Acid</v>
          </cell>
          <cell r="F3595" t="str">
            <v>7664-93-9</v>
          </cell>
        </row>
        <row r="3596">
          <cell r="E3596" t="str">
            <v>Tebuthiuron</v>
          </cell>
          <cell r="F3596" t="str">
            <v>34014-18-1</v>
          </cell>
        </row>
        <row r="3597">
          <cell r="E3597" t="str">
            <v>Tellurium</v>
          </cell>
          <cell r="F3597" t="str">
            <v>13494-80-9</v>
          </cell>
        </row>
        <row r="3598">
          <cell r="E3598" t="str">
            <v>Temephos</v>
          </cell>
          <cell r="F3598" t="str">
            <v>3383-96-8</v>
          </cell>
        </row>
        <row r="3599">
          <cell r="E3599" t="str">
            <v>Temperature</v>
          </cell>
          <cell r="F3599" t="str">
            <v>TEMP</v>
          </cell>
        </row>
        <row r="3600">
          <cell r="E3600" t="str">
            <v>Terbacil</v>
          </cell>
          <cell r="F3600" t="str">
            <v>5902-51-2</v>
          </cell>
        </row>
        <row r="3601">
          <cell r="E3601" t="str">
            <v>Terbufos</v>
          </cell>
          <cell r="F3601" t="str">
            <v>13071-79-9</v>
          </cell>
        </row>
        <row r="3602">
          <cell r="E3602" t="str">
            <v>Terbutryn</v>
          </cell>
          <cell r="F3602" t="str">
            <v>886-50-0</v>
          </cell>
        </row>
        <row r="3603">
          <cell r="E3603" t="str">
            <v>Terphenyl-d14</v>
          </cell>
          <cell r="F3603" t="str">
            <v>1718-51-0</v>
          </cell>
        </row>
        <row r="3604">
          <cell r="E3604" t="str">
            <v>tert-Amyl methyl ether (TAME)</v>
          </cell>
          <cell r="F3604" t="str">
            <v>994-05-8</v>
          </cell>
        </row>
        <row r="3605">
          <cell r="E3605" t="str">
            <v>tert-Butyl alcohol (TBA)</v>
          </cell>
          <cell r="F3605" t="str">
            <v>75-65-0</v>
          </cell>
        </row>
        <row r="3606">
          <cell r="E3606" t="str">
            <v>tert-Butyl formate (TBF)</v>
          </cell>
          <cell r="F3606" t="str">
            <v>762-75-4</v>
          </cell>
        </row>
        <row r="3607">
          <cell r="E3607" t="str">
            <v>tert-Butylbenzene</v>
          </cell>
          <cell r="F3607" t="str">
            <v>98-06-6</v>
          </cell>
        </row>
        <row r="3608">
          <cell r="E3608" t="str">
            <v>Tetrabutyltin</v>
          </cell>
          <cell r="F3608" t="str">
            <v>1461-25-2</v>
          </cell>
        </row>
        <row r="3609">
          <cell r="E3609" t="str">
            <v>Tetrachlorobiphenyl</v>
          </cell>
          <cell r="F3609" t="str">
            <v>26914-33-0</v>
          </cell>
        </row>
        <row r="3610">
          <cell r="E3610" t="str">
            <v>Tetrachloroethene (PCE)</v>
          </cell>
          <cell r="F3610" t="str">
            <v>127-18-4</v>
          </cell>
        </row>
        <row r="3611">
          <cell r="E3611" t="str">
            <v>Tetrachloro-m-xylene</v>
          </cell>
          <cell r="F3611" t="str">
            <v>877-09-8</v>
          </cell>
        </row>
        <row r="3612">
          <cell r="E3612" t="str">
            <v>Tetrachlorvinphos (Stirophos)</v>
          </cell>
          <cell r="F3612" t="str">
            <v>22248-79-9</v>
          </cell>
        </row>
        <row r="3613">
          <cell r="E3613" t="str">
            <v>Tetracosane</v>
          </cell>
          <cell r="F3613" t="str">
            <v>646-31-1</v>
          </cell>
        </row>
        <row r="3614">
          <cell r="E3614" t="str">
            <v>Tetracosanoic acid</v>
          </cell>
          <cell r="F3614" t="str">
            <v>544-63-8</v>
          </cell>
        </row>
        <row r="3615">
          <cell r="E3615" t="str">
            <v>Tetraethyl lead</v>
          </cell>
          <cell r="F3615" t="str">
            <v>78-00-2</v>
          </cell>
        </row>
        <row r="3616">
          <cell r="E3616" t="str">
            <v>Tetraethyl pyrophosphate</v>
          </cell>
          <cell r="F3616" t="str">
            <v>107-49-3</v>
          </cell>
        </row>
        <row r="3617">
          <cell r="E3617" t="str">
            <v>Tetraethylene glycol</v>
          </cell>
          <cell r="F3617" t="str">
            <v>112-60-7</v>
          </cell>
        </row>
        <row r="3618">
          <cell r="E3618" t="str">
            <v>Tetrahydrofuran</v>
          </cell>
          <cell r="F3618" t="str">
            <v>109-99-9</v>
          </cell>
        </row>
        <row r="3619">
          <cell r="E3619" t="str">
            <v>Tetrahydrothiophene</v>
          </cell>
          <cell r="F3619" t="str">
            <v>110-01-0</v>
          </cell>
        </row>
        <row r="3620">
          <cell r="E3620" t="str">
            <v>Tetramethyl Lead</v>
          </cell>
          <cell r="F3620" t="str">
            <v>75-74-1</v>
          </cell>
        </row>
        <row r="3621">
          <cell r="E3621" t="str">
            <v>Tetratriacontane</v>
          </cell>
          <cell r="F3621" t="str">
            <v>14167-59-0</v>
          </cell>
        </row>
        <row r="3622">
          <cell r="E3622" t="str">
            <v>Thallium</v>
          </cell>
          <cell r="F3622" t="str">
            <v>7440-28-0</v>
          </cell>
        </row>
        <row r="3623">
          <cell r="E3623" t="str">
            <v>Thallium-208</v>
          </cell>
          <cell r="F3623" t="str">
            <v>14913-50-9</v>
          </cell>
        </row>
        <row r="3624">
          <cell r="E3624" t="str">
            <v>Thiobencarb</v>
          </cell>
          <cell r="F3624" t="str">
            <v>28249-77-6</v>
          </cell>
        </row>
        <row r="3625">
          <cell r="E3625" t="str">
            <v>Thiodiglycol</v>
          </cell>
          <cell r="F3625" t="str">
            <v>111-48-8</v>
          </cell>
        </row>
        <row r="3626">
          <cell r="E3626" t="str">
            <v>Thionazine</v>
          </cell>
          <cell r="F3626" t="str">
            <v>297-97-2</v>
          </cell>
        </row>
        <row r="3627">
          <cell r="E3627" t="str">
            <v>Thiophene</v>
          </cell>
          <cell r="F3627" t="str">
            <v>110-02-1</v>
          </cell>
        </row>
        <row r="3628">
          <cell r="E3628" t="str">
            <v>Thiophenol (Benzenethiol)</v>
          </cell>
          <cell r="F3628" t="str">
            <v>108-98-5</v>
          </cell>
        </row>
        <row r="3629">
          <cell r="E3629" t="str">
            <v>Thiram</v>
          </cell>
          <cell r="F3629" t="str">
            <v>137-26-8</v>
          </cell>
        </row>
        <row r="3630">
          <cell r="E3630" t="str">
            <v>Thorium-227</v>
          </cell>
          <cell r="F3630" t="str">
            <v>15623-47-9</v>
          </cell>
        </row>
        <row r="3631">
          <cell r="E3631" t="str">
            <v>Thorium-228</v>
          </cell>
          <cell r="F3631" t="str">
            <v>14274-82-9</v>
          </cell>
        </row>
        <row r="3632">
          <cell r="E3632" t="str">
            <v>Thorium-230</v>
          </cell>
          <cell r="F3632" t="str">
            <v>14269-63-7</v>
          </cell>
        </row>
        <row r="3633">
          <cell r="E3633" t="str">
            <v>Thorium-232</v>
          </cell>
          <cell r="F3633" t="str">
            <v>7440-29-1</v>
          </cell>
        </row>
        <row r="3634">
          <cell r="E3634" t="str">
            <v>Thorium-234</v>
          </cell>
          <cell r="F3634" t="str">
            <v>15065-10-8</v>
          </cell>
        </row>
        <row r="3635">
          <cell r="E3635" t="str">
            <v>Tin</v>
          </cell>
          <cell r="F3635" t="str">
            <v>7440-31-5</v>
          </cell>
        </row>
        <row r="3636">
          <cell r="E3636" t="str">
            <v>Urea</v>
          </cell>
          <cell r="F3636" t="str">
            <v>62-56-6</v>
          </cell>
        </row>
        <row r="3637">
          <cell r="E3637" t="str">
            <v>9H-Fluorene, 2-methyl-</v>
          </cell>
          <cell r="F3637" t="str">
            <v>1430-97-3</v>
          </cell>
        </row>
        <row r="3638">
          <cell r="E3638" t="str">
            <v>2,4,6-Trichloroaniline</v>
          </cell>
          <cell r="F3638" t="str">
            <v>634-93-5</v>
          </cell>
        </row>
        <row r="3639">
          <cell r="E3639" t="str">
            <v>Decanoic acid</v>
          </cell>
          <cell r="F3639" t="str">
            <v>334-48-5</v>
          </cell>
        </row>
        <row r="3640">
          <cell r="E3640" t="str">
            <v>Benzal chloride</v>
          </cell>
          <cell r="F3640" t="str">
            <v>98-87-3</v>
          </cell>
        </row>
        <row r="3641">
          <cell r="E3641" t="str">
            <v>Acrylic Acid</v>
          </cell>
          <cell r="F3641" t="str">
            <v>79-10-7</v>
          </cell>
        </row>
        <row r="3642">
          <cell r="E3642" t="str">
            <v>Actinium-228</v>
          </cell>
          <cell r="F3642" t="str">
            <v>14331-83-0</v>
          </cell>
        </row>
        <row r="3643">
          <cell r="E3643" t="str">
            <v>Acetonitrile</v>
          </cell>
          <cell r="F3643" t="str">
            <v>75-05-8</v>
          </cell>
        </row>
        <row r="3644">
          <cell r="E3644" t="str">
            <v>Acetone</v>
          </cell>
          <cell r="F3644" t="str">
            <v>67-64-1</v>
          </cell>
        </row>
        <row r="3645">
          <cell r="E3645" t="str">
            <v>Acephate</v>
          </cell>
          <cell r="F3645" t="str">
            <v>30560-19-1</v>
          </cell>
        </row>
        <row r="3646">
          <cell r="E3646" t="str">
            <v>Acetaldehyde</v>
          </cell>
          <cell r="F3646" t="str">
            <v>75-07-0</v>
          </cell>
        </row>
        <row r="3647">
          <cell r="E3647" t="str">
            <v>Acetic acid</v>
          </cell>
          <cell r="F3647" t="str">
            <v>64-19-7</v>
          </cell>
        </row>
        <row r="3648">
          <cell r="E3648" t="str">
            <v>Acetylene</v>
          </cell>
          <cell r="F3648" t="str">
            <v>74-86-2</v>
          </cell>
        </row>
        <row r="3649">
          <cell r="E3649" t="str">
            <v>Acenaphthene</v>
          </cell>
          <cell r="F3649" t="str">
            <v>83-32-9</v>
          </cell>
        </row>
        <row r="3650">
          <cell r="E3650" t="str">
            <v>Acenaphthylene</v>
          </cell>
          <cell r="F3650" t="str">
            <v>208-96-8</v>
          </cell>
        </row>
        <row r="3651">
          <cell r="E3651" t="str">
            <v>Acetophenone</v>
          </cell>
          <cell r="F3651" t="str">
            <v>98-86-2</v>
          </cell>
        </row>
        <row r="3652">
          <cell r="E3652" t="str">
            <v>Acrylonitrile</v>
          </cell>
          <cell r="F3652" t="str">
            <v>107-13-1</v>
          </cell>
        </row>
        <row r="3653">
          <cell r="E3653" t="str">
            <v>Acrolein</v>
          </cell>
          <cell r="F3653" t="str">
            <v>107-02-8</v>
          </cell>
        </row>
        <row r="3654">
          <cell r="E3654" t="str">
            <v>Acrylamide</v>
          </cell>
          <cell r="F3654" t="str">
            <v>79-06-1</v>
          </cell>
        </row>
        <row r="3655">
          <cell r="E3655" t="str">
            <v>Asbestos, Actinolite</v>
          </cell>
          <cell r="F3655" t="str">
            <v>77536-66-4</v>
          </cell>
        </row>
        <row r="3656">
          <cell r="E3656" t="str">
            <v>Acifluorfen</v>
          </cell>
          <cell r="F3656" t="str">
            <v>50594-66-6</v>
          </cell>
        </row>
        <row r="3657">
          <cell r="E3657" t="str">
            <v>Aluminum</v>
          </cell>
          <cell r="F3657" t="str">
            <v>7429-90-5</v>
          </cell>
        </row>
        <row r="3658">
          <cell r="E3658" t="str">
            <v>Alachlor</v>
          </cell>
          <cell r="F3658" t="str">
            <v>15972-60-8</v>
          </cell>
        </row>
        <row r="3659">
          <cell r="E3659" t="str">
            <v>Aldicarb</v>
          </cell>
          <cell r="F3659" t="str">
            <v>116-06-3</v>
          </cell>
        </row>
        <row r="3660">
          <cell r="E3660" t="str">
            <v>Aldrin</v>
          </cell>
          <cell r="F3660" t="str">
            <v>309-00-2</v>
          </cell>
        </row>
        <row r="3661">
          <cell r="E3661" t="str">
            <v>Aldicarb sulfone</v>
          </cell>
          <cell r="F3661" t="str">
            <v>1646-88-4</v>
          </cell>
        </row>
        <row r="3662">
          <cell r="E3662" t="str">
            <v>Bicarbonate Alkalinity as CACO3</v>
          </cell>
          <cell r="F3662" t="str">
            <v>ALK</v>
          </cell>
        </row>
        <row r="3663">
          <cell r="E3663" t="str">
            <v>Allyl alcohol</v>
          </cell>
          <cell r="F3663" t="str">
            <v>107-18-6</v>
          </cell>
        </row>
        <row r="3664">
          <cell r="E3664" t="str">
            <v>Americium-241</v>
          </cell>
          <cell r="F3664" t="str">
            <v>86954-36-1</v>
          </cell>
        </row>
        <row r="3665">
          <cell r="E3665" t="str">
            <v>2-Aminoanthraquinone</v>
          </cell>
          <cell r="F3665" t="str">
            <v>117-79-3</v>
          </cell>
        </row>
        <row r="3666">
          <cell r="E3666" t="str">
            <v>alpha-Methylstyrene</v>
          </cell>
          <cell r="F3666" t="str">
            <v>98-83-9</v>
          </cell>
        </row>
        <row r="3667">
          <cell r="E3667" t="str">
            <v>Ametryn</v>
          </cell>
          <cell r="F3667" t="str">
            <v>834-12-8</v>
          </cell>
        </row>
        <row r="3668">
          <cell r="E3668" t="str">
            <v>Aminocarb</v>
          </cell>
          <cell r="F3668" t="str">
            <v>2032-59-9</v>
          </cell>
        </row>
        <row r="3669">
          <cell r="E3669" t="str">
            <v>2-Naphthylamine</v>
          </cell>
          <cell r="F3669" t="str">
            <v>91-59-8</v>
          </cell>
        </row>
        <row r="3670">
          <cell r="E3670" t="str">
            <v>Asbestos, Amosite (Grunerite)</v>
          </cell>
          <cell r="F3670" t="str">
            <v>12172-73-5</v>
          </cell>
        </row>
        <row r="3671">
          <cell r="E3671" t="str">
            <v>5a-Androstane</v>
          </cell>
          <cell r="F3671" t="str">
            <v>438-22-2</v>
          </cell>
        </row>
        <row r="3672">
          <cell r="E3672" t="str">
            <v>Aniline</v>
          </cell>
          <cell r="F3672" t="str">
            <v>62-53-3</v>
          </cell>
        </row>
        <row r="3673">
          <cell r="E3673" t="str">
            <v>Anilazine</v>
          </cell>
          <cell r="F3673" t="str">
            <v>101-05-3</v>
          </cell>
        </row>
        <row r="3674">
          <cell r="E3674" t="str">
            <v>Aramite</v>
          </cell>
          <cell r="F3674" t="str">
            <v>140-57-8</v>
          </cell>
        </row>
        <row r="3675">
          <cell r="E3675" t="str">
            <v>Arsenic</v>
          </cell>
          <cell r="F3675" t="str">
            <v>7440-38-2</v>
          </cell>
        </row>
        <row r="3676">
          <cell r="E3676" t="str">
            <v>Asbestos</v>
          </cell>
          <cell r="F3676" t="str">
            <v>1332-21-4</v>
          </cell>
        </row>
        <row r="3677">
          <cell r="E3677" t="str">
            <v>alpha-Terpineol</v>
          </cell>
          <cell r="F3677" t="str">
            <v>98-55-5</v>
          </cell>
        </row>
        <row r="3678">
          <cell r="E3678" t="str">
            <v>Atrazine</v>
          </cell>
          <cell r="F3678" t="str">
            <v>1912-24-9</v>
          </cell>
        </row>
        <row r="3679">
          <cell r="E3679" t="str">
            <v>Azinphos methyl</v>
          </cell>
          <cell r="F3679" t="str">
            <v>86-50-0</v>
          </cell>
        </row>
        <row r="3680">
          <cell r="E3680" t="str">
            <v>Azobenzene</v>
          </cell>
          <cell r="F3680" t="str">
            <v>103-33-3</v>
          </cell>
        </row>
        <row r="3681">
          <cell r="E3681" t="str">
            <v>Boron</v>
          </cell>
          <cell r="F3681" t="str">
            <v>7440-42-8</v>
          </cell>
        </row>
        <row r="3682">
          <cell r="E3682" t="str">
            <v>Barium</v>
          </cell>
          <cell r="F3682" t="str">
            <v>7440-39-3</v>
          </cell>
        </row>
        <row r="3683">
          <cell r="E3683" t="str">
            <v>Barban</v>
          </cell>
          <cell r="F3683" t="str">
            <v>101-27-9</v>
          </cell>
        </row>
        <row r="3684">
          <cell r="E3684" t="str">
            <v>Benzyl butyl phthalate</v>
          </cell>
          <cell r="F3684" t="str">
            <v>85-68-7</v>
          </cell>
        </row>
        <row r="3685">
          <cell r="E3685" t="str">
            <v>Bromodichloromethane</v>
          </cell>
          <cell r="F3685" t="str">
            <v>75-27-4</v>
          </cell>
        </row>
        <row r="3686">
          <cell r="E3686" t="str">
            <v>Beryllium</v>
          </cell>
          <cell r="F3686" t="str">
            <v>7440-41-7</v>
          </cell>
        </row>
        <row r="3687">
          <cell r="E3687" t="str">
            <v>Beryllium-7</v>
          </cell>
          <cell r="F3687" t="str">
            <v>13966-02-4</v>
          </cell>
        </row>
        <row r="3688">
          <cell r="E3688" t="str">
            <v>Bendiocarb</v>
          </cell>
          <cell r="F3688" t="str">
            <v>22781-23-3</v>
          </cell>
        </row>
        <row r="3689">
          <cell r="E3689" t="str">
            <v>Benomyl</v>
          </cell>
          <cell r="F3689" t="str">
            <v>17804-35-2</v>
          </cell>
        </row>
        <row r="3690">
          <cell r="E3690" t="str">
            <v>alpha-BHC</v>
          </cell>
          <cell r="F3690" t="str">
            <v>319-84-6</v>
          </cell>
        </row>
        <row r="3691">
          <cell r="E3691" t="str">
            <v>beta-BHC</v>
          </cell>
          <cell r="F3691" t="str">
            <v>319-85-7</v>
          </cell>
        </row>
        <row r="3692">
          <cell r="E3692" t="str">
            <v>Bismuth</v>
          </cell>
          <cell r="F3692" t="str">
            <v>7440-69-9</v>
          </cell>
        </row>
        <row r="3693">
          <cell r="E3693" t="str">
            <v>Bismuth-212</v>
          </cell>
          <cell r="F3693" t="str">
            <v>14913-49-6</v>
          </cell>
        </row>
        <row r="3694">
          <cell r="E3694" t="str">
            <v>Bismuth-214</v>
          </cell>
          <cell r="F3694" t="str">
            <v>14733-03-0</v>
          </cell>
        </row>
        <row r="3695">
          <cell r="E3695" t="str">
            <v>Biphenyl</v>
          </cell>
          <cell r="F3695" t="str">
            <v>92-52-4</v>
          </cell>
        </row>
        <row r="3696">
          <cell r="E3696" t="str">
            <v>Bisphenol A</v>
          </cell>
          <cell r="F3696" t="str">
            <v>80-05-7</v>
          </cell>
        </row>
        <row r="3697">
          <cell r="E3697" t="str">
            <v>Bromide</v>
          </cell>
          <cell r="F3697" t="str">
            <v>24959-67-9</v>
          </cell>
        </row>
        <row r="3698">
          <cell r="E3698" t="str">
            <v>Bromochloromethane</v>
          </cell>
          <cell r="F3698" t="str">
            <v>74-97-5</v>
          </cell>
        </row>
        <row r="3699">
          <cell r="E3699" t="str">
            <v>Bromoethane</v>
          </cell>
          <cell r="F3699" t="str">
            <v>74-96-4</v>
          </cell>
        </row>
        <row r="3700">
          <cell r="E3700" t="str">
            <v>Bromomethane</v>
          </cell>
          <cell r="F3700" t="str">
            <v>74-83-9</v>
          </cell>
        </row>
        <row r="3701">
          <cell r="E3701" t="str">
            <v>Bromate ion (BrO3) (1-)</v>
          </cell>
          <cell r="F3701" t="str">
            <v>15541-45-4</v>
          </cell>
        </row>
        <row r="3702">
          <cell r="E3702" t="str">
            <v>Bromacil</v>
          </cell>
          <cell r="F3702" t="str">
            <v>314-40-9</v>
          </cell>
        </row>
        <row r="3703">
          <cell r="E3703" t="str">
            <v>Bromine</v>
          </cell>
          <cell r="F3703" t="str">
            <v>7726-95-6</v>
          </cell>
        </row>
        <row r="3704">
          <cell r="E3704" t="str">
            <v>Bromoxynil</v>
          </cell>
          <cell r="F3704" t="str">
            <v>1689-84-5</v>
          </cell>
        </row>
        <row r="3705">
          <cell r="E3705" t="str">
            <v>n-Butyl mercaptan</v>
          </cell>
          <cell r="F3705" t="str">
            <v>109-79-5</v>
          </cell>
        </row>
        <row r="3706">
          <cell r="E3706" t="str">
            <v>n-Butanol</v>
          </cell>
          <cell r="F3706" t="str">
            <v>71-36-3</v>
          </cell>
        </row>
        <row r="3707">
          <cell r="E3707" t="str">
            <v>Butyltin</v>
          </cell>
          <cell r="F3707" t="str">
            <v>2406-65-7</v>
          </cell>
        </row>
        <row r="3708">
          <cell r="E3708" t="str">
            <v>Bentazon</v>
          </cell>
          <cell r="F3708" t="str">
            <v>25057-89-0</v>
          </cell>
        </row>
        <row r="3709">
          <cell r="E3709" t="str">
            <v>Butachlor</v>
          </cell>
          <cell r="F3709" t="str">
            <v>23184-66-9</v>
          </cell>
        </row>
        <row r="3710">
          <cell r="E3710" t="str">
            <v>Butylate</v>
          </cell>
          <cell r="F3710" t="str">
            <v>2008-41-5</v>
          </cell>
        </row>
        <row r="3711">
          <cell r="E3711" t="str">
            <v>Benzo(a)anthracene</v>
          </cell>
          <cell r="F3711" t="str">
            <v>56-55-3</v>
          </cell>
        </row>
        <row r="3712">
          <cell r="E3712" t="str">
            <v>Benzoic acid</v>
          </cell>
          <cell r="F3712" t="str">
            <v>65-85-0</v>
          </cell>
        </row>
        <row r="3713">
          <cell r="E3713" t="str">
            <v>Benzaldehyde</v>
          </cell>
          <cell r="F3713" t="str">
            <v>100-52-7</v>
          </cell>
        </row>
        <row r="3714">
          <cell r="E3714" t="str">
            <v>Benzo(a)pyrene</v>
          </cell>
          <cell r="F3714" t="str">
            <v>50-32-8</v>
          </cell>
        </row>
        <row r="3715">
          <cell r="E3715" t="str">
            <v>Benzo(b)fluoranthene</v>
          </cell>
          <cell r="F3715" t="str">
            <v>205-99-2</v>
          </cell>
        </row>
        <row r="3716">
          <cell r="E3716" t="str">
            <v>Benzidine</v>
          </cell>
          <cell r="F3716" t="str">
            <v>92-87-5</v>
          </cell>
        </row>
        <row r="3717">
          <cell r="E3717" t="str">
            <v>Benzo(e)pyrene</v>
          </cell>
          <cell r="F3717" t="str">
            <v>192-97-2</v>
          </cell>
        </row>
        <row r="3718">
          <cell r="E3718" t="str">
            <v>Benzo(g,h,i)perylene</v>
          </cell>
          <cell r="F3718" t="str">
            <v>191-24-2</v>
          </cell>
        </row>
        <row r="3719">
          <cell r="E3719" t="str">
            <v>Benzo(j)fluoranthene</v>
          </cell>
          <cell r="F3719" t="str">
            <v>205-82-3</v>
          </cell>
        </row>
        <row r="3720">
          <cell r="E3720" t="str">
            <v>Benzo(k)fluoranthene</v>
          </cell>
          <cell r="F3720" t="str">
            <v>207-08-9</v>
          </cell>
        </row>
        <row r="3721">
          <cell r="E3721" t="str">
            <v>Benzyl alcohol</v>
          </cell>
          <cell r="F3721" t="str">
            <v>100-51-6</v>
          </cell>
        </row>
        <row r="3722">
          <cell r="E3722" t="str">
            <v>Carbon-14</v>
          </cell>
          <cell r="F3722" t="str">
            <v>14762-75-5</v>
          </cell>
        </row>
        <row r="3723">
          <cell r="E3723" t="str">
            <v>cis-2-Butene</v>
          </cell>
          <cell r="F3723" t="str">
            <v>590-18-1</v>
          </cell>
        </row>
        <row r="3724">
          <cell r="E3724" t="str">
            <v>4-Chloro-3-methylphenol</v>
          </cell>
          <cell r="F3724" t="str">
            <v>59-50-7</v>
          </cell>
        </row>
        <row r="3725">
          <cell r="E3725" t="str">
            <v>Calcium</v>
          </cell>
          <cell r="F3725" t="str">
            <v>7440-70-2</v>
          </cell>
        </row>
        <row r="3726">
          <cell r="E3726" t="str">
            <v>Chloroacetic acid</v>
          </cell>
          <cell r="F3726" t="str">
            <v>79-11-8</v>
          </cell>
        </row>
        <row r="3727">
          <cell r="E3727" t="str">
            <v>Carbonate as CaCO3</v>
          </cell>
          <cell r="F3727" t="str">
            <v>471-34-1</v>
          </cell>
        </row>
        <row r="3728">
          <cell r="E3728" t="str">
            <v>Caprolactam</v>
          </cell>
          <cell r="F3728" t="str">
            <v>105-60-2</v>
          </cell>
        </row>
        <row r="3729">
          <cell r="E3729" t="str">
            <v>Captafol</v>
          </cell>
          <cell r="F3729" t="str">
            <v>2425-06-1</v>
          </cell>
        </row>
        <row r="3730">
          <cell r="E3730" t="str">
            <v>Captan</v>
          </cell>
          <cell r="F3730" t="str">
            <v>133-06-2</v>
          </cell>
        </row>
        <row r="3731">
          <cell r="E3731" t="str">
            <v>Carbazole</v>
          </cell>
          <cell r="F3731" t="str">
            <v>86-74-8</v>
          </cell>
        </row>
        <row r="3732">
          <cell r="E3732" t="str">
            <v>Carboxin</v>
          </cell>
          <cell r="F3732" t="str">
            <v>5234-68-4</v>
          </cell>
        </row>
        <row r="3733">
          <cell r="E3733" t="str">
            <v>Carbon disulfide</v>
          </cell>
          <cell r="F3733" t="str">
            <v>75-15-0</v>
          </cell>
        </row>
        <row r="3734">
          <cell r="E3734" t="str">
            <v>2-Chloroethyl vinyl ether</v>
          </cell>
          <cell r="F3734" t="str">
            <v>110-75-8</v>
          </cell>
        </row>
        <row r="3735">
          <cell r="E3735" t="str">
            <v>alpha-Chlordane</v>
          </cell>
          <cell r="F3735" t="str">
            <v>5103-71-9</v>
          </cell>
        </row>
        <row r="3736">
          <cell r="E3736" t="str">
            <v>Chlordane, Total</v>
          </cell>
          <cell r="F3736" t="str">
            <v>12789-03-6</v>
          </cell>
        </row>
        <row r="3737">
          <cell r="E3737" t="str">
            <v>Chloroxuron</v>
          </cell>
          <cell r="F3737" t="str">
            <v>1982-47-4</v>
          </cell>
        </row>
        <row r="3738">
          <cell r="E3738" t="str">
            <v>Asbestos, Chrysotile</v>
          </cell>
          <cell r="F3738" t="str">
            <v>12001-29-5</v>
          </cell>
        </row>
        <row r="3739">
          <cell r="E3739" t="str">
            <v>Chloride</v>
          </cell>
          <cell r="F3739" t="str">
            <v>16887-00-6</v>
          </cell>
        </row>
        <row r="3740">
          <cell r="E3740" t="str">
            <v>Chloroacetonitrile</v>
          </cell>
          <cell r="F3740" t="str">
            <v>107-14-2</v>
          </cell>
        </row>
        <row r="3741">
          <cell r="E3741" t="str">
            <v>Chloramben</v>
          </cell>
          <cell r="F3741" t="str">
            <v>133-90-4</v>
          </cell>
        </row>
        <row r="3742">
          <cell r="E3742" t="str">
            <v>Chlorobenzene</v>
          </cell>
          <cell r="F3742" t="str">
            <v>108-90-7</v>
          </cell>
        </row>
        <row r="3743">
          <cell r="E3743" t="str">
            <v>Chlorobenzene-d5</v>
          </cell>
          <cell r="F3743" t="str">
            <v>3114-55-4</v>
          </cell>
        </row>
        <row r="3744">
          <cell r="E3744" t="str">
            <v>Chlorobenzilate</v>
          </cell>
          <cell r="F3744" t="str">
            <v>510-15-6</v>
          </cell>
        </row>
        <row r="3745">
          <cell r="E3745" t="str">
            <v>2-Chlorotoluene</v>
          </cell>
          <cell r="F3745" t="str">
            <v>95-49-8</v>
          </cell>
        </row>
        <row r="3746">
          <cell r="E3746" t="str">
            <v>4-Chlorotoluene</v>
          </cell>
          <cell r="F3746" t="str">
            <v>106-43-4</v>
          </cell>
        </row>
        <row r="3747">
          <cell r="E3747" t="str">
            <v>Chloroethane</v>
          </cell>
          <cell r="F3747" t="str">
            <v>75-00-3</v>
          </cell>
        </row>
        <row r="3748">
          <cell r="E3748" t="str">
            <v>Allyl chloride</v>
          </cell>
          <cell r="F3748" t="str">
            <v>107-05-1</v>
          </cell>
        </row>
        <row r="3749">
          <cell r="E3749" t="str">
            <v>2-Chlorophenol</v>
          </cell>
          <cell r="F3749" t="str">
            <v>95-57-8</v>
          </cell>
        </row>
        <row r="3750">
          <cell r="E3750" t="str">
            <v>Amenable Cyanide</v>
          </cell>
          <cell r="F3750" t="str">
            <v>57-12-5A</v>
          </cell>
        </row>
        <row r="3751">
          <cell r="E3751" t="str">
            <v>Cobalt-57</v>
          </cell>
          <cell r="F3751" t="str">
            <v>13981-50-5</v>
          </cell>
        </row>
        <row r="3752">
          <cell r="E3752" t="str">
            <v>Cobalt-58</v>
          </cell>
          <cell r="F3752" t="str">
            <v>13981-38-9</v>
          </cell>
        </row>
        <row r="3753">
          <cell r="E3753" t="str">
            <v>Cobalt-60</v>
          </cell>
          <cell r="F3753" t="str">
            <v>10198-40-0</v>
          </cell>
        </row>
        <row r="3754">
          <cell r="E3754" t="str">
            <v>Chemical Oxygen Demand</v>
          </cell>
          <cell r="F3754" t="str">
            <v>COD</v>
          </cell>
        </row>
        <row r="3755">
          <cell r="E3755" t="str">
            <v>Color</v>
          </cell>
          <cell r="F3755" t="str">
            <v>COLOR</v>
          </cell>
        </row>
        <row r="3756">
          <cell r="E3756" t="str">
            <v>Corrosivity Toward Steel</v>
          </cell>
          <cell r="F3756" t="str">
            <v>CORR</v>
          </cell>
        </row>
        <row r="3757">
          <cell r="E3757" t="str">
            <v>Carbonyl sulfide</v>
          </cell>
          <cell r="F3757" t="str">
            <v>463-58-1</v>
          </cell>
        </row>
        <row r="3758">
          <cell r="E3758" t="str">
            <v>Coumaphos</v>
          </cell>
          <cell r="F3758" t="str">
            <v>56-72-4</v>
          </cell>
        </row>
        <row r="3759">
          <cell r="E3759" t="str">
            <v>Asbestos, Crocidolite</v>
          </cell>
          <cell r="F3759" t="str">
            <v>12001-28-4</v>
          </cell>
        </row>
        <row r="3760">
          <cell r="E3760" t="str">
            <v>Cesium-134</v>
          </cell>
          <cell r="F3760" t="str">
            <v>13967-70-9</v>
          </cell>
        </row>
        <row r="3761">
          <cell r="E3761" t="str">
            <v>Cesium-137</v>
          </cell>
          <cell r="F3761" t="str">
            <v>10045-97-3</v>
          </cell>
        </row>
        <row r="3762">
          <cell r="E3762" t="str">
            <v>Carbon tetrachloride</v>
          </cell>
          <cell r="F3762" t="str">
            <v>56-23-5</v>
          </cell>
        </row>
        <row r="3763">
          <cell r="E3763" t="str">
            <v>Chlorotrifluoroethene</v>
          </cell>
          <cell r="F3763" t="str">
            <v>79-38-9</v>
          </cell>
        </row>
        <row r="3764">
          <cell r="E3764" t="str">
            <v>Copper</v>
          </cell>
          <cell r="F3764" t="str">
            <v>7440-50-8</v>
          </cell>
        </row>
        <row r="3765">
          <cell r="E3765" t="str">
            <v>Cycloate</v>
          </cell>
          <cell r="F3765" t="str">
            <v>1134-23-2</v>
          </cell>
        </row>
        <row r="3766">
          <cell r="E3766" t="str">
            <v>Cyclohexanone</v>
          </cell>
          <cell r="F3766" t="str">
            <v>108-94-1</v>
          </cell>
        </row>
        <row r="3767">
          <cell r="E3767" t="str">
            <v>Cyclohexanol</v>
          </cell>
          <cell r="F3767" t="str">
            <v>108-93-0</v>
          </cell>
        </row>
        <row r="3768">
          <cell r="E3768" t="str">
            <v>DCPA (Dacthal)</v>
          </cell>
          <cell r="F3768" t="str">
            <v>1861-32-1</v>
          </cell>
        </row>
        <row r="3769">
          <cell r="E3769" t="str">
            <v>Dibenzo(a,h)anthracene</v>
          </cell>
          <cell r="F3769" t="str">
            <v>53-70-3</v>
          </cell>
        </row>
        <row r="3770">
          <cell r="E3770" t="str">
            <v>3,3'-Dichlorobenzidine</v>
          </cell>
          <cell r="F3770" t="str">
            <v>91-94-1</v>
          </cell>
        </row>
        <row r="3771">
          <cell r="E3771" t="str">
            <v>cis-1,4-Dichloro-2-butene</v>
          </cell>
          <cell r="F3771" t="str">
            <v>1476-11-5</v>
          </cell>
        </row>
        <row r="3772">
          <cell r="E3772" t="str">
            <v>2,5-Dichlorophenol</v>
          </cell>
          <cell r="F3772" t="str">
            <v>583-78-8</v>
          </cell>
        </row>
        <row r="3773">
          <cell r="E3773" t="str">
            <v>2,2-Dichloropropane</v>
          </cell>
          <cell r="F3773" t="str">
            <v>594-20-7</v>
          </cell>
        </row>
        <row r="3774">
          <cell r="E3774" t="str">
            <v>4,4'-DDD</v>
          </cell>
          <cell r="F3774" t="str">
            <v>72-54-8</v>
          </cell>
        </row>
        <row r="3775">
          <cell r="E3775" t="str">
            <v>2,4'-DDE</v>
          </cell>
          <cell r="F3775" t="str">
            <v>3424-82-6</v>
          </cell>
        </row>
        <row r="3776">
          <cell r="E3776" t="str">
            <v>4,4'-DDE</v>
          </cell>
          <cell r="F3776" t="str">
            <v>72-55-9</v>
          </cell>
        </row>
        <row r="3777">
          <cell r="E3777" t="str">
            <v>2,4'-DDT</v>
          </cell>
          <cell r="F3777" t="str">
            <v>789-02-6</v>
          </cell>
        </row>
        <row r="3778">
          <cell r="E3778" t="str">
            <v>4,4'-DDT</v>
          </cell>
          <cell r="F3778" t="str">
            <v>50-29-3</v>
          </cell>
        </row>
        <row r="3779">
          <cell r="E3779" t="str">
            <v>Diethylamine</v>
          </cell>
          <cell r="F3779" t="str">
            <v>109-89-7</v>
          </cell>
        </row>
        <row r="3780">
          <cell r="E3780" t="str">
            <v>Diethyl phthalate</v>
          </cell>
          <cell r="F3780" t="str">
            <v>84-66-2</v>
          </cell>
        </row>
        <row r="3781">
          <cell r="E3781" t="str">
            <v>Diethylstilbestrol</v>
          </cell>
          <cell r="F3781" t="str">
            <v>56-53-1</v>
          </cell>
        </row>
        <row r="3782">
          <cell r="E3782" t="str">
            <v>Dimethoate</v>
          </cell>
          <cell r="F3782" t="str">
            <v>60-51-5</v>
          </cell>
        </row>
        <row r="3783">
          <cell r="E3783" t="str">
            <v>Dinoseb</v>
          </cell>
          <cell r="F3783" t="str">
            <v>88-85-7</v>
          </cell>
        </row>
        <row r="3784">
          <cell r="E3784" t="str">
            <v>7,12-Dimethylbenz(a)anthracene</v>
          </cell>
          <cell r="F3784" t="str">
            <v>57-97-6</v>
          </cell>
        </row>
        <row r="3785">
          <cell r="E3785" t="str">
            <v>2,5-Dimethyl benzaldehyde</v>
          </cell>
          <cell r="F3785" t="str">
            <v>5779-94-2</v>
          </cell>
        </row>
        <row r="3786">
          <cell r="E3786" t="str">
            <v>Dimethoxymethane</v>
          </cell>
          <cell r="F3786" t="str">
            <v>109-87-5</v>
          </cell>
        </row>
        <row r="3787">
          <cell r="E3787" t="str">
            <v>2,6-Dimethylphenol</v>
          </cell>
          <cell r="F3787" t="str">
            <v>576-26-1</v>
          </cell>
        </row>
        <row r="3788">
          <cell r="E3788" t="str">
            <v>Dimethyl phthalate</v>
          </cell>
          <cell r="F3788" t="str">
            <v>131-11-3</v>
          </cell>
        </row>
        <row r="3789">
          <cell r="E3789" t="str">
            <v>Dimethyl sulfide</v>
          </cell>
          <cell r="F3789" t="str">
            <v>75-18-3</v>
          </cell>
        </row>
        <row r="3790">
          <cell r="E3790" t="str">
            <v>Di-n-octyl phthalate</v>
          </cell>
          <cell r="F3790" t="str">
            <v>117-84-0</v>
          </cell>
        </row>
        <row r="3791">
          <cell r="E3791" t="str">
            <v>2,6-Dinitrotoluene</v>
          </cell>
          <cell r="F3791" t="str">
            <v>606-20-2</v>
          </cell>
        </row>
        <row r="3792">
          <cell r="E3792" t="str">
            <v>Diphenylamine</v>
          </cell>
          <cell r="F3792" t="str">
            <v>122-39-4</v>
          </cell>
        </row>
        <row r="3793">
          <cell r="E3793" t="str">
            <v>Diphenamide</v>
          </cell>
          <cell r="F3793" t="str">
            <v>957-51-7</v>
          </cell>
        </row>
        <row r="3794">
          <cell r="E3794" t="str">
            <v>4-Ethyltoluene</v>
          </cell>
          <cell r="F3794" t="str">
            <v>622-96-8</v>
          </cell>
        </row>
        <row r="3795">
          <cell r="E3795" t="str">
            <v>Diethyl ether</v>
          </cell>
          <cell r="F3795" t="str">
            <v>60-29-7</v>
          </cell>
        </row>
        <row r="3796">
          <cell r="E3796" t="str">
            <v>1-Hexanol, 2-ethyl-</v>
          </cell>
          <cell r="F3796" t="str">
            <v>104-76-7</v>
          </cell>
        </row>
        <row r="3797">
          <cell r="E3797" t="str">
            <v>Hexafluoro-2-propanol</v>
          </cell>
          <cell r="F3797" t="str">
            <v>920-66-1</v>
          </cell>
        </row>
        <row r="3798">
          <cell r="E3798" t="str">
            <v>2-Hexanone</v>
          </cell>
          <cell r="F3798" t="str">
            <v>591-78-6</v>
          </cell>
        </row>
        <row r="3799">
          <cell r="E3799" t="str">
            <v>5-Hydroxydicamba</v>
          </cell>
          <cell r="F3799" t="str">
            <v>7600-50-2</v>
          </cell>
        </row>
        <row r="3800">
          <cell r="E3800" t="str">
            <v>6-Methylchrysene</v>
          </cell>
          <cell r="F3800" t="str">
            <v>1705-85-7</v>
          </cell>
        </row>
        <row r="3801">
          <cell r="E3801" t="str">
            <v>4-Methylphenol (p-Cresol)</v>
          </cell>
          <cell r="F3801" t="str">
            <v>106-44-5</v>
          </cell>
        </row>
        <row r="3802">
          <cell r="E3802" t="str">
            <v>a,a-Dimethylphenethylamine</v>
          </cell>
          <cell r="F3802" t="str">
            <v>122-09-8</v>
          </cell>
        </row>
        <row r="3803">
          <cell r="E3803" t="str">
            <v>m-Phenylenediamine</v>
          </cell>
          <cell r="F3803" t="str">
            <v>108-45-2</v>
          </cell>
        </row>
        <row r="3804">
          <cell r="E3804" t="str">
            <v>2,4-Diaminotoluene</v>
          </cell>
          <cell r="F3804" t="str">
            <v>95-80-7</v>
          </cell>
        </row>
        <row r="3805">
          <cell r="E3805" t="str">
            <v>2-Methylnaphthalene</v>
          </cell>
          <cell r="F3805" t="str">
            <v>91-57-6</v>
          </cell>
        </row>
        <row r="3806">
          <cell r="E3806" t="str">
            <v>3-Nitrotoluene</v>
          </cell>
          <cell r="F3806" t="str">
            <v>99-08-1</v>
          </cell>
        </row>
        <row r="3807">
          <cell r="E3807" t="str">
            <v>Ammonia (un-ionized)</v>
          </cell>
          <cell r="F3807" t="str">
            <v>7664-41-7</v>
          </cell>
        </row>
        <row r="3808">
          <cell r="E3808" t="str">
            <v>Ammonium as Nitrogen</v>
          </cell>
          <cell r="F3808" t="str">
            <v>14798-03-9</v>
          </cell>
        </row>
        <row r="3809">
          <cell r="E3809" t="str">
            <v>N-N-Dimethylaniline</v>
          </cell>
          <cell r="F3809" t="str">
            <v>121-69-7</v>
          </cell>
        </row>
        <row r="3810">
          <cell r="E3810" t="str">
            <v>N,N-Dimethylformamide</v>
          </cell>
          <cell r="F3810" t="str">
            <v>68-12-2</v>
          </cell>
        </row>
        <row r="3811">
          <cell r="E3811" t="str">
            <v>Nonanal</v>
          </cell>
          <cell r="F3811" t="str">
            <v>124-19-6</v>
          </cell>
        </row>
        <row r="3812">
          <cell r="E3812" t="str">
            <v>2-Nitropropane</v>
          </cell>
          <cell r="F3812" t="str">
            <v>79-46-9</v>
          </cell>
        </row>
        <row r="3813">
          <cell r="E3813" t="str">
            <v>o-Phenylenediamine</v>
          </cell>
          <cell r="F3813" t="str">
            <v>95-54-5</v>
          </cell>
        </row>
        <row r="3814">
          <cell r="E3814" t="str">
            <v>PCB-1016  (Aroclor 1016)</v>
          </cell>
          <cell r="F3814" t="str">
            <v>12674-11-2</v>
          </cell>
        </row>
        <row r="3815">
          <cell r="E3815" t="str">
            <v>PCB-1221  (Aroclor 1221)</v>
          </cell>
          <cell r="F3815" t="str">
            <v>11104-28-2</v>
          </cell>
        </row>
        <row r="3816">
          <cell r="E3816" t="str">
            <v>PCB-1232  (Aroclor 1232)</v>
          </cell>
          <cell r="F3816" t="str">
            <v>11141-16-5</v>
          </cell>
        </row>
        <row r="3817">
          <cell r="E3817" t="str">
            <v>PCB-1242  (Aroclor 1242)</v>
          </cell>
          <cell r="F3817" t="str">
            <v>53469-21-9</v>
          </cell>
        </row>
        <row r="3818">
          <cell r="E3818" t="str">
            <v>PCB-1248  (Aroclor 1248)</v>
          </cell>
          <cell r="F3818" t="str">
            <v>12672-29-6</v>
          </cell>
        </row>
        <row r="3819">
          <cell r="E3819" t="str">
            <v>PCB-1254  (Aroclor 1254)</v>
          </cell>
          <cell r="F3819" t="str">
            <v>11097-69-1</v>
          </cell>
        </row>
        <row r="3820">
          <cell r="E3820" t="str">
            <v>PCB-1260  (Aroclor 1260)</v>
          </cell>
          <cell r="F3820" t="str">
            <v>11096-82-5</v>
          </cell>
        </row>
        <row r="3821">
          <cell r="E3821" t="str">
            <v>PCB-1262 (Aroclor 1262)</v>
          </cell>
          <cell r="F3821" t="str">
            <v>37324-23-5</v>
          </cell>
        </row>
        <row r="3822">
          <cell r="E3822" t="str">
            <v>PCB-1268 (Aroclor 1268)</v>
          </cell>
          <cell r="F3822" t="str">
            <v>11100-14-4</v>
          </cell>
        </row>
        <row r="3823">
          <cell r="E3823" t="str">
            <v>2,3,4,7,8-Pentachlorodibenzofuran</v>
          </cell>
          <cell r="F3823" t="str">
            <v>57117-31-4</v>
          </cell>
        </row>
        <row r="3824">
          <cell r="E3824" t="str">
            <v>2,4,6-Tribromophenol</v>
          </cell>
          <cell r="F3824" t="str">
            <v>118-79-6</v>
          </cell>
        </row>
        <row r="3825">
          <cell r="E3825" t="str">
            <v>2-Fluorophenol</v>
          </cell>
          <cell r="F3825" t="str">
            <v>367-12-4</v>
          </cell>
        </row>
        <row r="3826">
          <cell r="E3826" t="str">
            <v>2-Fluorobiphenyl</v>
          </cell>
          <cell r="F3826" t="str">
            <v>321-60-8</v>
          </cell>
        </row>
        <row r="3827">
          <cell r="E3827" t="str">
            <v>5,5-Diphenylhydantoin</v>
          </cell>
          <cell r="F3827" t="str">
            <v>57-41-0</v>
          </cell>
        </row>
        <row r="3828">
          <cell r="E3828" t="str">
            <v>2-Bromo-1-chloropropane</v>
          </cell>
          <cell r="F3828" t="str">
            <v>3017-95-6</v>
          </cell>
        </row>
        <row r="3829">
          <cell r="E3829" t="str">
            <v>n-Propanol</v>
          </cell>
          <cell r="F3829" t="str">
            <v>71-23-8</v>
          </cell>
        </row>
        <row r="3830">
          <cell r="E3830" t="str">
            <v>Antimony</v>
          </cell>
          <cell r="F3830" t="str">
            <v>7440-36-0</v>
          </cell>
        </row>
        <row r="3831">
          <cell r="E3831" t="str">
            <v>Antimony-124</v>
          </cell>
          <cell r="F3831" t="str">
            <v>14683-10-4</v>
          </cell>
        </row>
        <row r="3832">
          <cell r="E3832" t="str">
            <v>Antimony-125</v>
          </cell>
          <cell r="F3832" t="str">
            <v>14234-35-6</v>
          </cell>
        </row>
        <row r="3833">
          <cell r="E3833" t="str">
            <v>Carbaryl</v>
          </cell>
          <cell r="F3833" t="str">
            <v>63-25-2</v>
          </cell>
        </row>
        <row r="3834">
          <cell r="E3834" t="str">
            <v>Bolstar (Sulprofos)</v>
          </cell>
          <cell r="F3834" t="str">
            <v>35400-43-2</v>
          </cell>
        </row>
        <row r="3835">
          <cell r="E3835" t="str">
            <v>Bromoform</v>
          </cell>
          <cell r="F3835" t="str">
            <v>75-25-2</v>
          </cell>
        </row>
        <row r="3836">
          <cell r="E3836" t="str">
            <v>2,3,7,8-Tetrachlorodibenzo-p-dioxin</v>
          </cell>
          <cell r="F3836" t="str">
            <v>1746-01-6</v>
          </cell>
        </row>
        <row r="3837">
          <cell r="E3837" t="str">
            <v>2,3,7,8-Tetrachlorodibenzofuran</v>
          </cell>
          <cell r="F3837" t="str">
            <v>51207-31-9</v>
          </cell>
        </row>
        <row r="3838">
          <cell r="E3838" t="str">
            <v>Chloroform</v>
          </cell>
          <cell r="F3838" t="str">
            <v>67-66-3</v>
          </cell>
        </row>
        <row r="3839">
          <cell r="E3839" t="str">
            <v>2,4,6-Trichlorophenol</v>
          </cell>
          <cell r="F3839" t="str">
            <v>88-06-2</v>
          </cell>
        </row>
        <row r="3840">
          <cell r="E3840" t="str">
            <v>5-Nitro-o-toluidine</v>
          </cell>
          <cell r="F3840" t="str">
            <v>99-55-8</v>
          </cell>
        </row>
        <row r="3841">
          <cell r="E3841" t="str">
            <v>Total Chlorine</v>
          </cell>
          <cell r="F3841" t="str">
            <v>7782-50-5</v>
          </cell>
        </row>
        <row r="3842">
          <cell r="E3842" t="str">
            <v>Asbestos, Tremolite</v>
          </cell>
          <cell r="F3842" t="str">
            <v>77536-68-6</v>
          </cell>
        </row>
        <row r="3843">
          <cell r="E3843" t="str">
            <v>Chrysene</v>
          </cell>
          <cell r="F3843" t="str">
            <v>218-01-9</v>
          </cell>
        </row>
        <row r="3844">
          <cell r="E3844" t="str">
            <v>cis-1,2-Dichloroethene</v>
          </cell>
          <cell r="F3844" t="str">
            <v>156-59-2</v>
          </cell>
        </row>
        <row r="3845">
          <cell r="E3845" t="str">
            <v>Chlorpyrifos</v>
          </cell>
          <cell r="F3845" t="str">
            <v>2921-88-2</v>
          </cell>
        </row>
        <row r="3846">
          <cell r="E3846" t="str">
            <v>Chromium III</v>
          </cell>
          <cell r="F3846" t="str">
            <v>16065-83-1</v>
          </cell>
        </row>
        <row r="3847">
          <cell r="E3847" t="str">
            <v>Chromium, Hexavalent</v>
          </cell>
          <cell r="F3847" t="str">
            <v>18540-29-9</v>
          </cell>
        </row>
        <row r="3848">
          <cell r="E3848" t="str">
            <v>Chromium-51</v>
          </cell>
          <cell r="F3848" t="str">
            <v>14392-02-0</v>
          </cell>
        </row>
        <row r="3849">
          <cell r="E3849" t="str">
            <v>Chromium</v>
          </cell>
          <cell r="F3849" t="str">
            <v>7440-47-3</v>
          </cell>
        </row>
        <row r="3850">
          <cell r="E3850" t="str">
            <v>cis-1,3-Dichloropropene</v>
          </cell>
          <cell r="F3850" t="str">
            <v>10061-01-5</v>
          </cell>
        </row>
        <row r="3851">
          <cell r="E3851" t="str">
            <v>Chloropyrifos methyl</v>
          </cell>
          <cell r="F3851" t="str">
            <v>5598-13-0</v>
          </cell>
        </row>
        <row r="3852">
          <cell r="E3852" t="str">
            <v>Beta, Gross</v>
          </cell>
          <cell r="F3852" t="str">
            <v>12587-47-2</v>
          </cell>
        </row>
        <row r="3853">
          <cell r="E3853" t="str">
            <v>Alpha, Gross</v>
          </cell>
          <cell r="F3853" t="str">
            <v>12587-46-1</v>
          </cell>
        </row>
        <row r="3854">
          <cell r="E3854" t="str">
            <v>Butane</v>
          </cell>
          <cell r="F3854" t="str">
            <v>106-97-8</v>
          </cell>
        </row>
        <row r="3855">
          <cell r="E3855" t="str">
            <v>Bis(chloromethyl) ether</v>
          </cell>
          <cell r="F3855" t="str">
            <v>542-88-1</v>
          </cell>
        </row>
        <row r="3856">
          <cell r="E3856" t="str">
            <v>2,4,5-T</v>
          </cell>
          <cell r="F3856" t="str">
            <v>93-76-5</v>
          </cell>
        </row>
        <row r="3857">
          <cell r="E3857" t="str">
            <v>Total Extractable Petroleum Hydrocarbons (EPH)</v>
          </cell>
          <cell r="F3857" t="str">
            <v>TPH-EXT</v>
          </cell>
        </row>
        <row r="3858">
          <cell r="E3858" t="str">
            <v>Dimethylamine</v>
          </cell>
          <cell r="F3858" t="str">
            <v>124-40-3</v>
          </cell>
        </row>
        <row r="3859">
          <cell r="E3859" t="str">
            <v>Diethyl sulfate</v>
          </cell>
          <cell r="F3859" t="str">
            <v>64-67-5</v>
          </cell>
        </row>
        <row r="3860">
          <cell r="E3860" t="str">
            <v>Diethyl sulfide</v>
          </cell>
          <cell r="F3860" t="str">
            <v>352-93-2</v>
          </cell>
        </row>
        <row r="3861">
          <cell r="E3861" t="str">
            <v>Diethylene glycol</v>
          </cell>
          <cell r="F3861" t="str">
            <v>111-46-6</v>
          </cell>
        </row>
        <row r="3862">
          <cell r="E3862" t="str">
            <v>Diazinon</v>
          </cell>
          <cell r="F3862" t="str">
            <v>333-41-5</v>
          </cell>
        </row>
        <row r="3863">
          <cell r="E3863" t="str">
            <v>Dibenz(a,h)acridine</v>
          </cell>
          <cell r="F3863" t="str">
            <v>226-36-8</v>
          </cell>
        </row>
        <row r="3864">
          <cell r="E3864" t="str">
            <v>Dibenz(a,j)acridine</v>
          </cell>
          <cell r="F3864" t="str">
            <v>224-42-0</v>
          </cell>
        </row>
        <row r="3865">
          <cell r="E3865" t="str">
            <v>Dibenzo(a,e)pyrene</v>
          </cell>
          <cell r="F3865" t="str">
            <v>192-65-4</v>
          </cell>
        </row>
        <row r="3866">
          <cell r="E3866" t="str">
            <v>Dibenzo(a,h)pyrene</v>
          </cell>
          <cell r="F3866" t="str">
            <v>189-64-0</v>
          </cell>
        </row>
        <row r="3867">
          <cell r="E3867" t="str">
            <v>Dibenzo(a,i)pyrene</v>
          </cell>
          <cell r="F3867" t="str">
            <v>189-55-9</v>
          </cell>
        </row>
        <row r="3868">
          <cell r="E3868" t="str">
            <v>Diallate (cis- or trans-)</v>
          </cell>
          <cell r="F3868" t="str">
            <v>2303-16-4</v>
          </cell>
        </row>
        <row r="3869">
          <cell r="E3869" t="str">
            <v>Demeton-O</v>
          </cell>
          <cell r="F3869" t="str">
            <v>298-03-3</v>
          </cell>
        </row>
        <row r="3870">
          <cell r="E3870" t="str">
            <v>Demeton-S</v>
          </cell>
          <cell r="F3870" t="str">
            <v>126-75-0</v>
          </cell>
        </row>
        <row r="3871">
          <cell r="E3871" t="str">
            <v>delta-BHC</v>
          </cell>
          <cell r="F3871" t="str">
            <v>319-86-8</v>
          </cell>
        </row>
        <row r="3872">
          <cell r="E3872" t="str">
            <v>Demeton, -O and -S</v>
          </cell>
          <cell r="F3872" t="str">
            <v>8065-48-3</v>
          </cell>
        </row>
        <row r="3873">
          <cell r="E3873" t="str">
            <v>Decane</v>
          </cell>
          <cell r="F3873" t="str">
            <v>124-18-5</v>
          </cell>
        </row>
        <row r="3874">
          <cell r="E3874" t="str">
            <v>Dalapon</v>
          </cell>
          <cell r="F3874" t="str">
            <v>75-99-0</v>
          </cell>
        </row>
        <row r="3875">
          <cell r="E3875" t="str">
            <v>4-Isopropyltoluene</v>
          </cell>
          <cell r="F3875" t="str">
            <v>25155-15-1</v>
          </cell>
        </row>
        <row r="3876">
          <cell r="E3876" t="str">
            <v>4-Chlorophenyl phenyl ether</v>
          </cell>
          <cell r="F3876" t="str">
            <v>7005-72-3</v>
          </cell>
        </row>
        <row r="3877">
          <cell r="E3877" t="str">
            <v>Dinocap</v>
          </cell>
          <cell r="F3877" t="str">
            <v>39300-45-3</v>
          </cell>
        </row>
        <row r="3878">
          <cell r="E3878" t="str">
            <v>Di-n-butyl phthalate</v>
          </cell>
          <cell r="F3878" t="str">
            <v>84-74-2</v>
          </cell>
        </row>
        <row r="3879">
          <cell r="E3879" t="str">
            <v>Cyclohexane</v>
          </cell>
          <cell r="F3879" t="str">
            <v>110-82-7</v>
          </cell>
        </row>
        <row r="3880">
          <cell r="E3880" t="str">
            <v>Cyanide</v>
          </cell>
          <cell r="F3880" t="str">
            <v>57-12-5</v>
          </cell>
        </row>
        <row r="3881">
          <cell r="E3881" t="str">
            <v>Cresols (Methyl Phenols)</v>
          </cell>
          <cell r="F3881" t="str">
            <v>1319-77-3</v>
          </cell>
        </row>
        <row r="3882">
          <cell r="E3882" t="str">
            <v>Cobalt</v>
          </cell>
          <cell r="F3882" t="str">
            <v>7440-48-4</v>
          </cell>
        </row>
        <row r="3883">
          <cell r="E3883" t="str">
            <v>Chlordane</v>
          </cell>
          <cell r="F3883" t="str">
            <v>57-74-9</v>
          </cell>
        </row>
        <row r="3884">
          <cell r="E3884" t="str">
            <v>Chlorate</v>
          </cell>
          <cell r="F3884" t="str">
            <v>7790-93-4</v>
          </cell>
        </row>
        <row r="3885">
          <cell r="E3885" t="str">
            <v>Chlorfenvinphos</v>
          </cell>
          <cell r="F3885" t="str">
            <v>470-90-6</v>
          </cell>
        </row>
        <row r="3886">
          <cell r="E3886" t="str">
            <v>Chlorotoluene</v>
          </cell>
          <cell r="F3886" t="str">
            <v>25168-05-2</v>
          </cell>
        </row>
        <row r="3887">
          <cell r="E3887" t="str">
            <v>Chloropropham</v>
          </cell>
          <cell r="F3887" t="str">
            <v>101-21-3</v>
          </cell>
        </row>
        <row r="3888">
          <cell r="E3888" t="str">
            <v>Chloromethyl methyl ether</v>
          </cell>
          <cell r="F3888" t="str">
            <v>107-30-2</v>
          </cell>
        </row>
        <row r="3889">
          <cell r="E3889" t="str">
            <v>Chloromethane</v>
          </cell>
          <cell r="F3889" t="str">
            <v>74-87-3</v>
          </cell>
        </row>
        <row r="3890">
          <cell r="E3890" t="str">
            <v>Carbonate Alkalinity as CACO3</v>
          </cell>
          <cell r="F3890" t="str">
            <v>3812-32-6</v>
          </cell>
        </row>
        <row r="3891">
          <cell r="E3891" t="str">
            <v>Carbon dioxide</v>
          </cell>
          <cell r="F3891" t="str">
            <v>124-38-9</v>
          </cell>
        </row>
        <row r="3892">
          <cell r="E3892" t="str">
            <v>Carbon monoxide</v>
          </cell>
          <cell r="F3892" t="str">
            <v>630-08-0</v>
          </cell>
        </row>
        <row r="3893">
          <cell r="E3893" t="str">
            <v>Carbofuran</v>
          </cell>
          <cell r="F3893" t="str">
            <v>1563-66-2</v>
          </cell>
        </row>
        <row r="3894">
          <cell r="E3894" t="str">
            <v>Cadmium</v>
          </cell>
          <cell r="F3894" t="str">
            <v>7440-43-9</v>
          </cell>
        </row>
        <row r="3895">
          <cell r="E3895" t="str">
            <v>Butyl acetate</v>
          </cell>
          <cell r="F3895" t="str">
            <v>123-86-4</v>
          </cell>
        </row>
        <row r="3896">
          <cell r="E3896" t="str">
            <v>Butyl acrylate</v>
          </cell>
          <cell r="F3896" t="str">
            <v>141-32-2</v>
          </cell>
        </row>
        <row r="3897">
          <cell r="E3897" t="str">
            <v>Butylamine</v>
          </cell>
          <cell r="F3897" t="str">
            <v>109-73-9</v>
          </cell>
        </row>
        <row r="3898">
          <cell r="E3898" t="str">
            <v>Bromobenzene</v>
          </cell>
          <cell r="F3898" t="str">
            <v>108-86-1</v>
          </cell>
        </row>
        <row r="3899">
          <cell r="E3899" t="str">
            <v>Bromoacetone</v>
          </cell>
          <cell r="F3899" t="str">
            <v>598-31-2</v>
          </cell>
        </row>
        <row r="3900">
          <cell r="E3900" t="str">
            <v>bis-(2-Chloroethoxy)methane</v>
          </cell>
          <cell r="F3900" t="str">
            <v>111-91-1</v>
          </cell>
        </row>
        <row r="3901">
          <cell r="E3901" t="str">
            <v>bis-(2-Chloroethyl)ether</v>
          </cell>
          <cell r="F3901" t="str">
            <v>111-44-4</v>
          </cell>
        </row>
        <row r="3902">
          <cell r="E3902" t="str">
            <v>bis-(2-Ethylhexyl)phthalate</v>
          </cell>
          <cell r="F3902" t="str">
            <v>117-81-7</v>
          </cell>
        </row>
        <row r="3903">
          <cell r="E3903" t="str">
            <v>bis(2-Ethylhexyl)adipate</v>
          </cell>
          <cell r="F3903" t="str">
            <v>103-23-1</v>
          </cell>
        </row>
        <row r="3904">
          <cell r="E3904" t="str">
            <v>Biologic Oxygen Demand</v>
          </cell>
          <cell r="F3904" t="str">
            <v>BOD</v>
          </cell>
        </row>
        <row r="3905">
          <cell r="E3905" t="str">
            <v>Bicarbonate Alkalinity as CACO3</v>
          </cell>
          <cell r="F3905" t="str">
            <v>71-52-3</v>
          </cell>
        </row>
        <row r="3906">
          <cell r="E3906" t="str">
            <v>Benzene</v>
          </cell>
          <cell r="F3906" t="str">
            <v>71-43-2</v>
          </cell>
        </row>
        <row r="3907">
          <cell r="E3907" t="str">
            <v>alpha-Chlorotoluene</v>
          </cell>
          <cell r="F3907" t="str">
            <v>100-44-7</v>
          </cell>
        </row>
        <row r="3908">
          <cell r="E3908" t="str">
            <v>Anthracene</v>
          </cell>
          <cell r="F3908" t="str">
            <v>120-12-7</v>
          </cell>
        </row>
        <row r="3909">
          <cell r="E3909" t="str">
            <v>Asbestos, Anthophyllite</v>
          </cell>
          <cell r="F3909" t="str">
            <v>77536-67-5</v>
          </cell>
        </row>
        <row r="3910">
          <cell r="E3910" t="str">
            <v>7H-Dibenzo(c,g)carbazole</v>
          </cell>
          <cell r="F3910" t="str">
            <v>194-59-2</v>
          </cell>
        </row>
        <row r="3911">
          <cell r="E3911" t="str">
            <v>5-Nitro-o-anisidine</v>
          </cell>
          <cell r="F3911" t="str">
            <v>99-59-2</v>
          </cell>
        </row>
        <row r="3912">
          <cell r="E3912" t="str">
            <v>5-Nitroacenaphthene</v>
          </cell>
          <cell r="F3912" t="str">
            <v>602-87-9</v>
          </cell>
        </row>
        <row r="3913">
          <cell r="E3913" t="str">
            <v>4-Nitrotoluene</v>
          </cell>
          <cell r="F3913" t="str">
            <v>99-99-0</v>
          </cell>
        </row>
        <row r="3914">
          <cell r="E3914" t="str">
            <v>4-Nitrophenol</v>
          </cell>
          <cell r="F3914" t="str">
            <v>100-02-7</v>
          </cell>
        </row>
        <row r="3915">
          <cell r="E3915" t="str">
            <v>4-Nitroaniline</v>
          </cell>
          <cell r="F3915" t="str">
            <v>100-01-6</v>
          </cell>
        </row>
        <row r="3916">
          <cell r="E3916" t="str">
            <v>4-Nitrobiphenyl</v>
          </cell>
          <cell r="F3916" t="str">
            <v>92-93-3</v>
          </cell>
        </row>
        <row r="3917">
          <cell r="E3917" t="str">
            <v>4-Methyl-2-pentanone</v>
          </cell>
          <cell r="F3917" t="str">
            <v>108-10-1</v>
          </cell>
        </row>
        <row r="3918">
          <cell r="E3918" t="str">
            <v>4-Chloroaniline</v>
          </cell>
          <cell r="F3918" t="str">
            <v>106-47-8</v>
          </cell>
        </row>
        <row r="3919">
          <cell r="E3919" t="str">
            <v>4-Chloro-2-methylphenol</v>
          </cell>
          <cell r="F3919" t="str">
            <v>1570-64-5</v>
          </cell>
        </row>
        <row r="3920">
          <cell r="E3920" t="str">
            <v>4-Bromophenyl phenyl ether</v>
          </cell>
          <cell r="F3920" t="str">
            <v>101-55-3</v>
          </cell>
        </row>
        <row r="3921">
          <cell r="E3921" t="str">
            <v>4-Bromofluorobenzene</v>
          </cell>
          <cell r="F3921" t="str">
            <v>460-00-4</v>
          </cell>
        </row>
        <row r="3922">
          <cell r="E3922" t="str">
            <v>4-Amino-2,6-dinitrotoluene</v>
          </cell>
          <cell r="F3922" t="str">
            <v>19406-51-0</v>
          </cell>
        </row>
        <row r="3923">
          <cell r="E3923" t="str">
            <v>4,4'-Oxydianiline</v>
          </cell>
          <cell r="F3923" t="str">
            <v>101-80-4</v>
          </cell>
        </row>
        <row r="3924">
          <cell r="E3924" t="str">
            <v>4,4'-Methylenebis(2-chloraniline)</v>
          </cell>
          <cell r="F3924" t="str">
            <v>101-14-4</v>
          </cell>
        </row>
        <row r="3925">
          <cell r="E3925" t="str">
            <v>3-Methylphenol</v>
          </cell>
          <cell r="F3925" t="str">
            <v>108-39-4</v>
          </cell>
        </row>
        <row r="3926">
          <cell r="E3926" t="str">
            <v>3-Nitroaniline</v>
          </cell>
          <cell r="F3926" t="str">
            <v>99-09-2</v>
          </cell>
        </row>
        <row r="3927">
          <cell r="E3927" t="str">
            <v>3-Methylcholanthrene</v>
          </cell>
          <cell r="F3927" t="str">
            <v>56-49-5</v>
          </cell>
        </row>
        <row r="3928">
          <cell r="E3928" t="str">
            <v>3-Hydroxycarbofuran</v>
          </cell>
          <cell r="F3928" t="str">
            <v>16655-82-6</v>
          </cell>
        </row>
        <row r="3929">
          <cell r="E3929" t="str">
            <v>3-Chlorophenol</v>
          </cell>
          <cell r="F3929" t="str">
            <v>108-43-0</v>
          </cell>
        </row>
        <row r="3930">
          <cell r="E3930" t="str">
            <v>3-Chloropropionitrile</v>
          </cell>
          <cell r="F3930" t="str">
            <v>542-76-7</v>
          </cell>
        </row>
        <row r="3931">
          <cell r="E3931" t="str">
            <v>3,5-Dichlorobenzoic acid</v>
          </cell>
          <cell r="F3931" t="str">
            <v>51-36-5</v>
          </cell>
        </row>
        <row r="3932">
          <cell r="E3932" t="str">
            <v>3,4-Dinitrotoluene</v>
          </cell>
          <cell r="F3932" t="str">
            <v>610-39-9</v>
          </cell>
        </row>
        <row r="3933">
          <cell r="E3933" t="str">
            <v>3,4-Dichlorophenol</v>
          </cell>
          <cell r="F3933" t="str">
            <v>95-77-2</v>
          </cell>
        </row>
        <row r="3934">
          <cell r="E3934" t="str">
            <v>3,4-Dimethylphenol</v>
          </cell>
          <cell r="F3934" t="str">
            <v>95-65-8</v>
          </cell>
        </row>
        <row r="3935">
          <cell r="E3935" t="str">
            <v>3-Methylphenol/4-Methylphenol Coelution</v>
          </cell>
          <cell r="F3935" t="str">
            <v>3METH4METH</v>
          </cell>
        </row>
        <row r="3936">
          <cell r="E3936" t="str">
            <v>3,5-Dichloroaniline</v>
          </cell>
          <cell r="F3936" t="str">
            <v>618-87-1</v>
          </cell>
        </row>
        <row r="3937">
          <cell r="E3937" t="str">
            <v>2-Propanol</v>
          </cell>
          <cell r="F3937" t="str">
            <v>67-63-0</v>
          </cell>
        </row>
        <row r="3938">
          <cell r="E3938" t="str">
            <v>2-Picoline</v>
          </cell>
          <cell r="F3938" t="str">
            <v>109-06-8</v>
          </cell>
        </row>
        <row r="3939">
          <cell r="E3939" t="str">
            <v>2-Nitrophenol</v>
          </cell>
          <cell r="F3939" t="str">
            <v>88-75-5</v>
          </cell>
        </row>
        <row r="3940">
          <cell r="E3940" t="str">
            <v>2-Nitrotoluene</v>
          </cell>
          <cell r="F3940" t="str">
            <v>88-72-2</v>
          </cell>
        </row>
        <row r="3941">
          <cell r="E3941" t="str">
            <v>o-Nitrotoluene</v>
          </cell>
          <cell r="F3941" t="str">
            <v>88-72-2</v>
          </cell>
        </row>
        <row r="3942">
          <cell r="E3942" t="str">
            <v>2-Nitroaniline</v>
          </cell>
          <cell r="F3942" t="str">
            <v>88-74-4</v>
          </cell>
        </row>
        <row r="3943">
          <cell r="E3943" t="str">
            <v>2-Methylphenol (o-Cresol)</v>
          </cell>
          <cell r="F3943" t="str">
            <v>95-48-7</v>
          </cell>
        </row>
        <row r="3944">
          <cell r="E3944" t="str">
            <v>2-Methylbutane</v>
          </cell>
          <cell r="F3944" t="str">
            <v>78-78-4</v>
          </cell>
        </row>
        <row r="3945">
          <cell r="E3945" t="str">
            <v>2-Methoxyethanol</v>
          </cell>
          <cell r="F3945" t="str">
            <v>109-86-4</v>
          </cell>
        </row>
        <row r="3946">
          <cell r="E3946" t="str">
            <v>2-Butanol</v>
          </cell>
          <cell r="F3946" t="str">
            <v>78-92-2</v>
          </cell>
        </row>
        <row r="3947">
          <cell r="E3947" t="str">
            <v>2-Butanone</v>
          </cell>
          <cell r="F3947" t="str">
            <v>78-93-3</v>
          </cell>
        </row>
        <row r="3948">
          <cell r="E3948" t="str">
            <v>2-Chloronaphthalene</v>
          </cell>
          <cell r="F3948" t="str">
            <v>91-58-7</v>
          </cell>
        </row>
        <row r="3949">
          <cell r="E3949" t="str">
            <v>2,6-Dimethylnaphthalene</v>
          </cell>
          <cell r="F3949" t="str">
            <v>581-42-0</v>
          </cell>
        </row>
        <row r="3950">
          <cell r="E3950" t="str">
            <v>2,4-Dinitrotoluene</v>
          </cell>
          <cell r="F3950" t="str">
            <v>121-14-2</v>
          </cell>
        </row>
        <row r="3951">
          <cell r="E3951" t="str">
            <v>2,4-Dimethylphenol</v>
          </cell>
          <cell r="F3951" t="str">
            <v>105-67-9</v>
          </cell>
        </row>
        <row r="3952">
          <cell r="E3952" t="str">
            <v>2,4-Dinitrophenol</v>
          </cell>
          <cell r="F3952" t="str">
            <v>51-28-5</v>
          </cell>
        </row>
        <row r="3953">
          <cell r="E3953" t="str">
            <v>2,6-Dichlorophenol</v>
          </cell>
          <cell r="F3953" t="str">
            <v>87-65-0</v>
          </cell>
        </row>
        <row r="3954">
          <cell r="E3954" t="str">
            <v>2,4-Dichlorophenol</v>
          </cell>
          <cell r="F3954" t="str">
            <v>120-83-2</v>
          </cell>
        </row>
        <row r="3955">
          <cell r="E3955" t="str">
            <v>2,4-D</v>
          </cell>
          <cell r="F3955" t="str">
            <v>94-75-7</v>
          </cell>
        </row>
        <row r="3956">
          <cell r="E3956" t="str">
            <v>2,4-DB</v>
          </cell>
          <cell r="F3956" t="str">
            <v>94-82-6</v>
          </cell>
        </row>
        <row r="3957">
          <cell r="E3957" t="str">
            <v>2,4'-DDD</v>
          </cell>
          <cell r="F3957" t="str">
            <v>53-19-0</v>
          </cell>
        </row>
        <row r="3958">
          <cell r="E3958" t="str">
            <v>2,4-Dichlorophenylacetic acid</v>
          </cell>
          <cell r="F3958" t="str">
            <v>19719-28-9</v>
          </cell>
        </row>
        <row r="3959">
          <cell r="E3959" t="str">
            <v>2,4,5-Trimethylaniline</v>
          </cell>
          <cell r="F3959" t="str">
            <v>137-17-7</v>
          </cell>
        </row>
        <row r="3960">
          <cell r="E3960" t="str">
            <v>2,4,5-Trichlorophenol</v>
          </cell>
          <cell r="F3960" t="str">
            <v>95-95-4</v>
          </cell>
        </row>
        <row r="3961">
          <cell r="E3961" t="str">
            <v>2,3,4,6,7,8-Hexachlorodibenzofuran</v>
          </cell>
          <cell r="F3961" t="str">
            <v>60851-34-5</v>
          </cell>
        </row>
        <row r="3962">
          <cell r="E3962" t="str">
            <v>2,3,3',4,4',5,5'-Heptachlorobiphenyl</v>
          </cell>
          <cell r="F3962" t="str">
            <v>39635-31-9</v>
          </cell>
        </row>
        <row r="3963">
          <cell r="E3963" t="str">
            <v>2,3,3',4,4',5'-Hexachlorobiphenyl</v>
          </cell>
          <cell r="F3963" t="str">
            <v>69782-90-7</v>
          </cell>
        </row>
        <row r="3964">
          <cell r="E3964" t="str">
            <v>2,3,3',4,4',5-Hexachlorobiphenyl</v>
          </cell>
          <cell r="F3964" t="str">
            <v>38380-08-4</v>
          </cell>
        </row>
        <row r="3965">
          <cell r="E3965" t="str">
            <v>2,3,3',4,4',6-Hexachlorobiphenyl</v>
          </cell>
          <cell r="F3965" t="str">
            <v>74472-42-7</v>
          </cell>
        </row>
        <row r="3966">
          <cell r="E3966" t="str">
            <v>2,3,3',4,4'-Pentachlorobiphenyl</v>
          </cell>
          <cell r="F3966" t="str">
            <v>32598-14-4</v>
          </cell>
        </row>
        <row r="3967">
          <cell r="E3967" t="str">
            <v>2,3,3',4',6-Pentachlorobiphenyl</v>
          </cell>
          <cell r="F3967" t="str">
            <v>38380-03-9</v>
          </cell>
        </row>
        <row r="3968">
          <cell r="E3968" t="str">
            <v>2,3,3',4'-Tetrachlorobiphenyl</v>
          </cell>
          <cell r="F3968" t="str">
            <v>41464-43-1</v>
          </cell>
        </row>
        <row r="3969">
          <cell r="E3969" t="str">
            <v>2,3,3'-Trichlorobiphenyl</v>
          </cell>
          <cell r="F3969" t="str">
            <v>38444-84-7</v>
          </cell>
        </row>
        <row r="3970">
          <cell r="E3970" t="str">
            <v>2,3',4,4',5,5'-Hexachlorobiphenyl</v>
          </cell>
          <cell r="F3970" t="str">
            <v>52663-72-6</v>
          </cell>
        </row>
        <row r="3971">
          <cell r="E3971" t="str">
            <v>2,3,4,4',5,6-Hexachlorobiphenyl</v>
          </cell>
          <cell r="F3971" t="str">
            <v>41411-63-6</v>
          </cell>
        </row>
        <row r="3972">
          <cell r="E3972" t="str">
            <v>2,3,4,4',5-Pentachlorobiphenyl</v>
          </cell>
          <cell r="F3972" t="str">
            <v>74472-37-0</v>
          </cell>
        </row>
        <row r="3973">
          <cell r="E3973" t="str">
            <v>2',3,4,4',5-Pentachlorobiphenyl</v>
          </cell>
          <cell r="F3973" t="str">
            <v>65510-44-3</v>
          </cell>
        </row>
        <row r="3974">
          <cell r="E3974" t="str">
            <v>2,3',4,4',5-Pentachlorobiphenyl</v>
          </cell>
          <cell r="F3974" t="str">
            <v>31508-00-6</v>
          </cell>
        </row>
        <row r="3975">
          <cell r="E3975" t="str">
            <v>2,3,4,4'-Tetrachlorobiphenyl</v>
          </cell>
          <cell r="F3975" t="str">
            <v>33025-41-1</v>
          </cell>
        </row>
        <row r="3976">
          <cell r="E3976" t="str">
            <v>2,3',4,4'-Tetrachlorobiphenyl</v>
          </cell>
          <cell r="F3976" t="str">
            <v>32598-10-0</v>
          </cell>
        </row>
        <row r="3977">
          <cell r="E3977" t="str">
            <v>2,3',4',5-Tetrachlorobiphenyl</v>
          </cell>
          <cell r="F3977" t="str">
            <v>32598-11-1</v>
          </cell>
        </row>
        <row r="3978">
          <cell r="E3978" t="str">
            <v>2,3,4-Trichlorobiphenyl</v>
          </cell>
          <cell r="F3978" t="str">
            <v>55702-46-0</v>
          </cell>
        </row>
        <row r="3979">
          <cell r="E3979" t="str">
            <v>2',3,4-Trichlorobiphenyl</v>
          </cell>
          <cell r="F3979" t="str">
            <v>38444-86-9</v>
          </cell>
        </row>
        <row r="3980">
          <cell r="E3980" t="str">
            <v>2,3',4-Trichlorobiphenyl</v>
          </cell>
          <cell r="F3980" t="str">
            <v>55712-37-3</v>
          </cell>
        </row>
        <row r="3981">
          <cell r="E3981" t="str">
            <v>2,3,4'-Trichlorobiphenyl</v>
          </cell>
          <cell r="F3981" t="str">
            <v>38444-85-8</v>
          </cell>
        </row>
        <row r="3982">
          <cell r="E3982" t="str">
            <v>2,3',5'-Trichlorobiphenyl</v>
          </cell>
          <cell r="F3982" t="str">
            <v>37680-68-5</v>
          </cell>
        </row>
        <row r="3983">
          <cell r="E3983" t="str">
            <v>2,3',5-Trichlorobiphenyl</v>
          </cell>
          <cell r="F3983" t="str">
            <v>38444-81-4</v>
          </cell>
        </row>
        <row r="3984">
          <cell r="E3984" t="str">
            <v>2,3,6-Trichlorobiphenyl</v>
          </cell>
          <cell r="F3984" t="str">
            <v>55702-45-9</v>
          </cell>
        </row>
        <row r="3985">
          <cell r="E3985" t="str">
            <v>2,3',6-Trichlorobiphenyl</v>
          </cell>
          <cell r="F3985" t="str">
            <v>38444-76-7</v>
          </cell>
        </row>
        <row r="3986">
          <cell r="E3986" t="str">
            <v>2,2',5-Trichlorobiphenyl</v>
          </cell>
          <cell r="F3986" t="str">
            <v>37680-65-2</v>
          </cell>
        </row>
        <row r="3987">
          <cell r="E3987" t="str">
            <v>2,2',5,5'-Tetrachlorobiphenyl</v>
          </cell>
          <cell r="F3987" t="str">
            <v>35693-99-3</v>
          </cell>
        </row>
        <row r="3988">
          <cell r="E3988" t="str">
            <v>2,2',4,5'-Tetrachlorobiphenyl</v>
          </cell>
          <cell r="F3988" t="str">
            <v>41464-40-8</v>
          </cell>
        </row>
        <row r="3989">
          <cell r="E3989" t="str">
            <v>2,2',3,3',4,4',5,5',6-Nonachlorobiphenyl</v>
          </cell>
          <cell r="F3989" t="str">
            <v>40186-72-9</v>
          </cell>
        </row>
        <row r="3990">
          <cell r="E3990" t="str">
            <v>2,2',3,3',4,4',5,5'-Octachlorobiphenyl</v>
          </cell>
          <cell r="F3990" t="str">
            <v>35694-08-7</v>
          </cell>
        </row>
        <row r="3991">
          <cell r="E3991" t="str">
            <v>2,2',3,3',4,4',5,6-Octachlorobiphenyl</v>
          </cell>
          <cell r="F3991" t="str">
            <v>52663-78-2</v>
          </cell>
        </row>
        <row r="3992">
          <cell r="E3992" t="str">
            <v>2,2',3,3',4,4',5-Heptachlorobiphenyl</v>
          </cell>
          <cell r="F3992" t="str">
            <v>35065-30-6</v>
          </cell>
        </row>
        <row r="3993">
          <cell r="E3993" t="str">
            <v>2,2',3,3',4,4'-Hexachlorobiphenyl</v>
          </cell>
          <cell r="F3993" t="str">
            <v>38380-07-3</v>
          </cell>
        </row>
        <row r="3994">
          <cell r="E3994" t="str">
            <v>2,2',3,3',4',5,6-Heptachlorobiphenyl</v>
          </cell>
          <cell r="F3994" t="str">
            <v>52663-70-4</v>
          </cell>
        </row>
        <row r="3995">
          <cell r="E3995" t="str">
            <v>2,2',3,3',4,5,6'-Heptachlorobiphenyl</v>
          </cell>
          <cell r="F3995" t="str">
            <v>38411-25-5</v>
          </cell>
        </row>
        <row r="3996">
          <cell r="E3996" t="str">
            <v>2,2',3,3',4,6'-Hexachlorobiphenyl</v>
          </cell>
          <cell r="F3996" t="str">
            <v>38380-05-1</v>
          </cell>
        </row>
        <row r="3997">
          <cell r="E3997" t="str">
            <v>2,2',3,3'-Tetrachlorobiphenyl (PCB-40)</v>
          </cell>
          <cell r="F3997" t="str">
            <v>38444-93-8</v>
          </cell>
        </row>
        <row r="3998">
          <cell r="E3998" t="str">
            <v>2,2',3,4,4',5,5',6-Octachlorobiphenyl</v>
          </cell>
          <cell r="F3998" t="str">
            <v>52663-76-0</v>
          </cell>
        </row>
        <row r="3999">
          <cell r="E3999" t="str">
            <v>2,2',3,4,4',5,5'-Heptachlorobiphenyl</v>
          </cell>
          <cell r="F3999" t="str">
            <v>35065-29-3</v>
          </cell>
        </row>
        <row r="4000">
          <cell r="E4000" t="str">
            <v>2,2',3,4,4',5',6-Heptachlorobiphenyl</v>
          </cell>
          <cell r="F4000" t="str">
            <v>52663-69-1</v>
          </cell>
        </row>
        <row r="4001">
          <cell r="E4001" t="str">
            <v>2,2',3,4,4',5'-Hexachlorobiphenyl</v>
          </cell>
          <cell r="F4001" t="str">
            <v>35065-28-2</v>
          </cell>
        </row>
        <row r="4002">
          <cell r="E4002" t="str">
            <v>2,2',3,4,4',6,6'-Heptachlorobiphenyl</v>
          </cell>
          <cell r="F4002" t="str">
            <v>74472-48-3</v>
          </cell>
        </row>
        <row r="4003">
          <cell r="E4003" t="str">
            <v>2,2',3,4',5,5',6-Heptachlorobiphenyl</v>
          </cell>
          <cell r="F4003" t="str">
            <v>52663-68-0</v>
          </cell>
        </row>
        <row r="4004">
          <cell r="E4004" t="str">
            <v>2,2',3,4,5,5'-Hexachlorobiphenyl</v>
          </cell>
          <cell r="F4004" t="str">
            <v>52712-04-6</v>
          </cell>
        </row>
        <row r="4005">
          <cell r="E4005" t="str">
            <v>2,2',3,4',5',6-Hexachlorobiphenyl</v>
          </cell>
          <cell r="F4005" t="str">
            <v>38380-04-0</v>
          </cell>
        </row>
        <row r="4006">
          <cell r="E4006" t="str">
            <v>2,2',3',4,5-Pentachlorobiphenyl</v>
          </cell>
          <cell r="F4006" t="str">
            <v>41464-51-1</v>
          </cell>
        </row>
        <row r="4007">
          <cell r="E4007" t="str">
            <v>2,2',3,4',5-Pentachlorobiphenyl</v>
          </cell>
          <cell r="F4007" t="str">
            <v>68194-07-0</v>
          </cell>
        </row>
        <row r="4008">
          <cell r="E4008" t="str">
            <v>2,2',3,4,5'-Pentachlorobiphenyl</v>
          </cell>
          <cell r="F4008" t="str">
            <v>38380-02-8</v>
          </cell>
        </row>
        <row r="4009">
          <cell r="E4009" t="str">
            <v>2,2',3,5,5',6-Hexachlorobiphenyl</v>
          </cell>
          <cell r="F4009" t="str">
            <v>52663-63-5</v>
          </cell>
        </row>
        <row r="4010">
          <cell r="E4010" t="str">
            <v>2,2',3,5',6-Pentachlorobiphenyl</v>
          </cell>
          <cell r="F4010" t="str">
            <v>38379-99-6</v>
          </cell>
        </row>
        <row r="4011">
          <cell r="E4011" t="str">
            <v>2,2',3,5'-Tetrachlorobiphenyl</v>
          </cell>
          <cell r="F4011" t="str">
            <v>41464-39-5</v>
          </cell>
        </row>
        <row r="4012">
          <cell r="E4012" t="str">
            <v>2,2',3-Trichlorobiphenyl</v>
          </cell>
          <cell r="F4012" t="str">
            <v>38444-78-9</v>
          </cell>
        </row>
        <row r="4013">
          <cell r="E4013" t="str">
            <v>2,2',4,4',5,5'-Hexachlorobiphenyl</v>
          </cell>
          <cell r="F4013" t="str">
            <v>35065-27-1</v>
          </cell>
        </row>
        <row r="4014">
          <cell r="E4014" t="str">
            <v>2,2',4,4',5-Pentachlorobiphenyl</v>
          </cell>
          <cell r="F4014" t="str">
            <v>38380-01-7</v>
          </cell>
        </row>
        <row r="4015">
          <cell r="E4015" t="str">
            <v>2,2',4,5,5'-Pentachlorobiphenyl</v>
          </cell>
          <cell r="F4015" t="str">
            <v>37680-73-2</v>
          </cell>
        </row>
        <row r="4016">
          <cell r="E4016" t="str">
            <v>2,4,4',5-Tetrachlorobiphenyl</v>
          </cell>
          <cell r="F4016" t="str">
            <v>32690-93-0</v>
          </cell>
        </row>
        <row r="4017">
          <cell r="E4017" t="str">
            <v>2,4,4'-Trichlorobiphenyl</v>
          </cell>
          <cell r="F4017" t="str">
            <v>7012-37-5</v>
          </cell>
        </row>
        <row r="4018">
          <cell r="E4018" t="str">
            <v>2,4,5-Trichlorobiphenyl</v>
          </cell>
          <cell r="F4018" t="str">
            <v>15862-07-4</v>
          </cell>
        </row>
        <row r="4019">
          <cell r="E4019" t="str">
            <v>2,4',5-Trichlorobiphenyl</v>
          </cell>
          <cell r="F4019" t="str">
            <v>16606-02-3</v>
          </cell>
        </row>
        <row r="4020">
          <cell r="E4020" t="str">
            <v>2,4,6-Trichlorobiphenyl</v>
          </cell>
          <cell r="F4020" t="str">
            <v>35693-92-6</v>
          </cell>
        </row>
        <row r="4021">
          <cell r="E4021" t="str">
            <v>2,4',6-Trichlorobiphenyl</v>
          </cell>
          <cell r="F4021" t="str">
            <v>38444-77-8</v>
          </cell>
        </row>
        <row r="4022">
          <cell r="E4022" t="str">
            <v>2,4'-Dichlorobiphenyl</v>
          </cell>
          <cell r="F4022" t="str">
            <v>34883-43-7</v>
          </cell>
        </row>
        <row r="4023">
          <cell r="E4023" t="str">
            <v>2,4-Dichlorobiphenyl</v>
          </cell>
          <cell r="F4023" t="str">
            <v>33284-50-3</v>
          </cell>
        </row>
        <row r="4024">
          <cell r="E4024" t="str">
            <v>2,5-Dichlorobiphenyl</v>
          </cell>
          <cell r="F4024" t="str">
            <v>34883-39-1</v>
          </cell>
        </row>
        <row r="4025">
          <cell r="E4025" t="str">
            <v>2,6-Dichlorobiphenyl</v>
          </cell>
          <cell r="F4025" t="str">
            <v>33146-45-1</v>
          </cell>
        </row>
        <row r="4026">
          <cell r="E4026" t="str">
            <v>3,3',4,4',5,5'-Hexachlorobiphenyl</v>
          </cell>
          <cell r="F4026" t="str">
            <v>32774-16-6</v>
          </cell>
        </row>
        <row r="4027">
          <cell r="E4027" t="str">
            <v>3,3',4,4',5-Pentachlorobiphenyl</v>
          </cell>
          <cell r="F4027" t="str">
            <v>57465-28-8</v>
          </cell>
        </row>
        <row r="4028">
          <cell r="E4028" t="str">
            <v>3,3',4,4'-Tetrachlorobiphenyl</v>
          </cell>
          <cell r="F4028" t="str">
            <v>32598-13-3</v>
          </cell>
        </row>
        <row r="4029">
          <cell r="E4029" t="str">
            <v>3,3',4-Trichlorobiphenyl</v>
          </cell>
          <cell r="F4029" t="str">
            <v>37680-69-6</v>
          </cell>
        </row>
        <row r="4030">
          <cell r="E4030" t="str">
            <v>3,3',5-Trichlorobiphenyl</v>
          </cell>
          <cell r="F4030" t="str">
            <v>38444-87-0</v>
          </cell>
        </row>
        <row r="4031">
          <cell r="E4031" t="str">
            <v>3,3'-Dichlorobiphenyl</v>
          </cell>
          <cell r="F4031" t="str">
            <v>2050-67-1</v>
          </cell>
        </row>
        <row r="4032">
          <cell r="E4032" t="str">
            <v>3,4,4',5-Tetrachlorobiphenyl</v>
          </cell>
          <cell r="F4032" t="str">
            <v>70362-50-4</v>
          </cell>
        </row>
        <row r="4033">
          <cell r="E4033" t="str">
            <v>3,4,4'-Trichlorobiphenyl (PCB-37)</v>
          </cell>
          <cell r="F4033" t="str">
            <v>38444-90-5</v>
          </cell>
        </row>
        <row r="4034">
          <cell r="E4034" t="str">
            <v>3,4,5-Trichlorobiphenyl (PCB-38)</v>
          </cell>
          <cell r="F4034" t="str">
            <v>53555-66-1</v>
          </cell>
        </row>
        <row r="4035">
          <cell r="E4035" t="str">
            <v>3,4-Dichlorobiphenyl</v>
          </cell>
          <cell r="F4035" t="str">
            <v>2974-92-7</v>
          </cell>
        </row>
        <row r="4036">
          <cell r="E4036" t="str">
            <v>4,4'-Dichlorobiphenyl</v>
          </cell>
          <cell r="F4036" t="str">
            <v>2050-68-2</v>
          </cell>
        </row>
        <row r="4037">
          <cell r="E4037" t="str">
            <v>2,4,5,-Trichlorobiphenyl</v>
          </cell>
          <cell r="F4037" t="str">
            <v>4841-20-7</v>
          </cell>
        </row>
        <row r="4038">
          <cell r="E4038" t="str">
            <v>2,2,4,4-Tetrachlorobiphenyl</v>
          </cell>
          <cell r="F4038" t="str">
            <v>2437-79-8</v>
          </cell>
        </row>
        <row r="4039">
          <cell r="E4039" t="str">
            <v>2,2,4,4,5,6-Hexachlorobiphenyl</v>
          </cell>
          <cell r="F4039" t="str">
            <v>60145-22-4</v>
          </cell>
        </row>
        <row r="4040">
          <cell r="E4040" t="str">
            <v>2,2,3,3,4,4,6-Heptachlorobiphenyl</v>
          </cell>
          <cell r="F4040" t="str">
            <v>52663-71-5</v>
          </cell>
        </row>
        <row r="4041">
          <cell r="E4041" t="str">
            <v>2,2,3,3,4,5,6,6-Octachlorobiphenyl</v>
          </cell>
          <cell r="F4041" t="str">
            <v>40186-71-8</v>
          </cell>
        </row>
        <row r="4042">
          <cell r="E4042" t="str">
            <v>2,2,3,4,6-Pentachlorobiphenyl</v>
          </cell>
          <cell r="F4042" t="str">
            <v>68194-05-8</v>
          </cell>
        </row>
        <row r="4043">
          <cell r="E4043" t="str">
            <v>2,3-Dichlorobiphenyl</v>
          </cell>
          <cell r="F4043" t="str">
            <v>16605-91-7</v>
          </cell>
        </row>
        <row r="4044">
          <cell r="E4044" t="str">
            <v>2,3'-Dichlorobiphenyl</v>
          </cell>
          <cell r="F4044" t="str">
            <v>25569-80-6</v>
          </cell>
        </row>
        <row r="4045">
          <cell r="E4045" t="str">
            <v>3,5-Dichlorobiphenyl</v>
          </cell>
          <cell r="F4045" t="str">
            <v>34883-41-5</v>
          </cell>
        </row>
        <row r="4046">
          <cell r="E4046" t="str">
            <v>4-Chlorobiphenyl</v>
          </cell>
          <cell r="F4046" t="str">
            <v>2051-62-9</v>
          </cell>
        </row>
        <row r="4047">
          <cell r="E4047" t="str">
            <v>3-Chlorobiphenyl</v>
          </cell>
          <cell r="F4047" t="str">
            <v>2051-61-8</v>
          </cell>
        </row>
        <row r="4048">
          <cell r="E4048" t="str">
            <v>2-Chlorobiphenyl</v>
          </cell>
          <cell r="F4048" t="str">
            <v>2051-60-7</v>
          </cell>
        </row>
        <row r="4049">
          <cell r="E4049" t="str">
            <v>2,2'-Dichlorbiphenyl</v>
          </cell>
          <cell r="F4049" t="str">
            <v>13029-08-8</v>
          </cell>
        </row>
        <row r="4050">
          <cell r="E4050" t="str">
            <v>2,2',6-Trichlorobiphenyl</v>
          </cell>
          <cell r="F4050" t="str">
            <v>38444-73-4</v>
          </cell>
        </row>
        <row r="4051">
          <cell r="E4051" t="str">
            <v>2,2',4-Trichlorobiphenyl</v>
          </cell>
          <cell r="F4051" t="str">
            <v>37680-66-3</v>
          </cell>
        </row>
        <row r="4052">
          <cell r="E4052" t="str">
            <v>2,2',3,4-Tetrachlorobiphenyl</v>
          </cell>
          <cell r="F4052" t="str">
            <v>36559-22-5</v>
          </cell>
        </row>
        <row r="4053">
          <cell r="E4053" t="str">
            <v>3,4'-Dichlorobiphenyl</v>
          </cell>
          <cell r="F4053" t="str">
            <v>2974-90-5</v>
          </cell>
        </row>
        <row r="4054">
          <cell r="E4054" t="str">
            <v>3,4',5-Trichlorobiphenyl</v>
          </cell>
          <cell r="F4054" t="str">
            <v>38444-88-1</v>
          </cell>
        </row>
        <row r="4055">
          <cell r="E4055" t="str">
            <v>Decachlorobiphenyl</v>
          </cell>
          <cell r="F4055" t="str">
            <v>2051-24-3</v>
          </cell>
        </row>
        <row r="4056">
          <cell r="E4056" t="str">
            <v>Parathion methyl</v>
          </cell>
          <cell r="F4056" t="str">
            <v>298-00-0</v>
          </cell>
        </row>
        <row r="4057">
          <cell r="E4057" t="str">
            <v>Phenanthrene</v>
          </cell>
          <cell r="F4057" t="str">
            <v>85-01-8</v>
          </cell>
        </row>
        <row r="4058">
          <cell r="E4058" t="str">
            <v>Phenols, Chlorinated</v>
          </cell>
          <cell r="F4058" t="str">
            <v>1336-35-2</v>
          </cell>
        </row>
        <row r="4059">
          <cell r="E4059" t="str">
            <v>Phenols, Non-chlorinated</v>
          </cell>
          <cell r="F4059" t="str">
            <v>E749-63-0</v>
          </cell>
        </row>
        <row r="4060">
          <cell r="E4060" t="str">
            <v>Di-isopropyl ether (DIPE)</v>
          </cell>
          <cell r="F4060" t="str">
            <v>108-20-3</v>
          </cell>
        </row>
        <row r="4061">
          <cell r="E4061" t="str">
            <v>p-Nitrotoluene</v>
          </cell>
          <cell r="F4061" t="str">
            <v>108-38-3</v>
          </cell>
        </row>
        <row r="4062">
          <cell r="E4062" t="str">
            <v>Pirimphos-ethyl</v>
          </cell>
          <cell r="F4062" t="str">
            <v>23505-41-1</v>
          </cell>
        </row>
        <row r="4063">
          <cell r="E4063" t="str">
            <v>CA Meth-Determination of Asbestos Content of Serpentine Aggregate</v>
          </cell>
          <cell r="F4063" t="str">
            <v>CARB435</v>
          </cell>
        </row>
        <row r="4064">
          <cell r="E4064" t="str">
            <v>Distilled Water -WET (Waste Extraction Test) STLC as per Title 22</v>
          </cell>
          <cell r="F4064" t="str">
            <v>STLC</v>
          </cell>
        </row>
        <row r="4065">
          <cell r="E4065" t="str">
            <v>Data Unavailable</v>
          </cell>
          <cell r="F4065" t="str">
            <v>UNKNOWN</v>
          </cell>
        </row>
        <row r="4066">
          <cell r="E4066" t="str">
            <v>Distilled Water -WET (Waste Extraction Test) STLC as per Title 22</v>
          </cell>
          <cell r="F4066" t="str">
            <v>WET</v>
          </cell>
        </row>
        <row r="4067">
          <cell r="E4067" t="str">
            <v>Leaching Procedure using Distilled Water (EPA 600/R-93/100)</v>
          </cell>
          <cell r="F4067" t="str">
            <v>WET_DI</v>
          </cell>
        </row>
        <row r="4068">
          <cell r="E4068" t="str">
            <v>CA Meth-Determination of Asbestos Content of Serpentine Aggregate</v>
          </cell>
          <cell r="F4068" t="str">
            <v>CARB435</v>
          </cell>
        </row>
        <row r="4069">
          <cell r="E4069" t="str">
            <v>Distilled Water -WET (Waste Extraction Test) STLC as per Title 22</v>
          </cell>
          <cell r="F4069" t="str">
            <v>STLC</v>
          </cell>
        </row>
        <row r="4070">
          <cell r="E4070" t="str">
            <v>Data Unavailable</v>
          </cell>
          <cell r="F4070" t="str">
            <v>UNKNOWN</v>
          </cell>
        </row>
        <row r="4071">
          <cell r="E4071" t="str">
            <v>Distilled Water -WET (Waste Extraction Test) STLC as per Title 22</v>
          </cell>
          <cell r="F4071" t="str">
            <v>WET</v>
          </cell>
        </row>
        <row r="4072">
          <cell r="E4072" t="str">
            <v>Leaching Procedure using Distilled Water (EPA 600/R-93/100)</v>
          </cell>
          <cell r="F4072" t="str">
            <v>WET_DI</v>
          </cell>
        </row>
        <row r="4073">
          <cell r="E4073" t="str">
            <v>CA Meth-Determination of Asbestos Content of Serpentine Aggregate</v>
          </cell>
          <cell r="F4073" t="str">
            <v>CARB435</v>
          </cell>
        </row>
        <row r="4074">
          <cell r="E4074" t="str">
            <v>Distilled Water -WET (Waste Extraction Test) STLC as per Title 22</v>
          </cell>
          <cell r="F4074" t="str">
            <v>STLC</v>
          </cell>
        </row>
        <row r="4075">
          <cell r="E4075" t="str">
            <v>Data Unavailable</v>
          </cell>
          <cell r="F4075" t="str">
            <v>UNKNOWN</v>
          </cell>
        </row>
        <row r="4076">
          <cell r="E4076" t="str">
            <v>Distilled Water -WET (Waste Extraction Test) STLC as per Title 22</v>
          </cell>
          <cell r="F4076" t="str">
            <v>WET</v>
          </cell>
        </row>
        <row r="4077">
          <cell r="E4077" t="str">
            <v>Leaching Procedure using Distilled Water (EPA 600/R-93/100)</v>
          </cell>
          <cell r="F4077" t="str">
            <v>WET_DI</v>
          </cell>
        </row>
        <row r="4078">
          <cell r="E4078" t="str">
            <v>CA Meth-Determination of Asbestos Content of Serpentine Aggregate</v>
          </cell>
          <cell r="F4078" t="str">
            <v>CARB435</v>
          </cell>
        </row>
        <row r="4079">
          <cell r="E4079" t="str">
            <v>Distilled Water -WET (Waste Extraction Test) STLC as per Title 22</v>
          </cell>
          <cell r="F4079" t="str">
            <v>STLC</v>
          </cell>
        </row>
        <row r="4080">
          <cell r="E4080" t="str">
            <v>Data Unavailable</v>
          </cell>
          <cell r="F4080" t="str">
            <v>UNKNOWN</v>
          </cell>
        </row>
        <row r="4081">
          <cell r="E4081" t="str">
            <v>Distilled Water -WET (Waste Extraction Test) STLC as per Title 22</v>
          </cell>
          <cell r="F4081" t="str">
            <v>WET</v>
          </cell>
        </row>
        <row r="4082">
          <cell r="E4082" t="str">
            <v>Leaching Procedure using Distilled Water (EPA 600/R-93/100)</v>
          </cell>
          <cell r="F4082" t="str">
            <v>WET_DI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A</v>
          </cell>
        </row>
        <row r="3">
          <cell r="A3" t="str">
            <v>AB</v>
          </cell>
        </row>
        <row r="4">
          <cell r="A4" t="str">
            <v>B</v>
          </cell>
        </row>
        <row r="5">
          <cell r="A5" t="str">
            <v>BD</v>
          </cell>
        </row>
        <row r="6">
          <cell r="A6" t="str">
            <v>BDU</v>
          </cell>
        </row>
        <row r="7">
          <cell r="A7" t="str">
            <v>BS</v>
          </cell>
        </row>
        <row r="8">
          <cell r="A8" t="str">
            <v>BSD</v>
          </cell>
        </row>
        <row r="9">
          <cell r="A9" t="str">
            <v>CC</v>
          </cell>
        </row>
        <row r="10">
          <cell r="A10" t="str">
            <v>D</v>
          </cell>
        </row>
        <row r="11">
          <cell r="A11" t="str">
            <v>DL</v>
          </cell>
        </row>
        <row r="12">
          <cell r="A12" t="str">
            <v>EB</v>
          </cell>
        </row>
        <row r="13">
          <cell r="A13" t="str">
            <v>EBU</v>
          </cell>
        </row>
        <row r="14">
          <cell r="A14" t="str">
            <v>FB</v>
          </cell>
        </row>
        <row r="15">
          <cell r="A15" t="str">
            <v>FD</v>
          </cell>
        </row>
        <row r="16">
          <cell r="A16" t="str">
            <v>FD1</v>
          </cell>
        </row>
        <row r="17">
          <cell r="A17" t="str">
            <v>FDU</v>
          </cell>
        </row>
        <row r="18">
          <cell r="A18" t="str">
            <v>FR</v>
          </cell>
        </row>
        <row r="19">
          <cell r="A19" t="str">
            <v>FS</v>
          </cell>
        </row>
        <row r="20">
          <cell r="A20" t="str">
            <v>FSU</v>
          </cell>
        </row>
        <row r="21">
          <cell r="A21" t="str">
            <v>FT</v>
          </cell>
        </row>
        <row r="22">
          <cell r="A22" t="str">
            <v>HS</v>
          </cell>
        </row>
        <row r="23">
          <cell r="A23" t="str">
            <v>IFS</v>
          </cell>
        </row>
        <row r="24">
          <cell r="A24" t="str">
            <v>ILD</v>
          </cell>
        </row>
        <row r="25">
          <cell r="A25" t="str">
            <v>ILDD</v>
          </cell>
        </row>
        <row r="26">
          <cell r="A26" t="str">
            <v>KD</v>
          </cell>
        </row>
        <row r="27">
          <cell r="A27" t="str">
            <v>LB</v>
          </cell>
        </row>
        <row r="28">
          <cell r="A28" t="str">
            <v>LCS</v>
          </cell>
        </row>
        <row r="29">
          <cell r="A29" t="str">
            <v>LCSD</v>
          </cell>
        </row>
        <row r="30">
          <cell r="A30" t="str">
            <v>LD</v>
          </cell>
        </row>
        <row r="31">
          <cell r="A31" t="str">
            <v>LF</v>
          </cell>
        </row>
        <row r="32">
          <cell r="A32" t="str">
            <v>LR</v>
          </cell>
        </row>
        <row r="33">
          <cell r="A33" t="str">
            <v>LRU</v>
          </cell>
        </row>
        <row r="34">
          <cell r="A34" t="str">
            <v>MB</v>
          </cell>
        </row>
        <row r="35">
          <cell r="A35" t="str">
            <v>MS</v>
          </cell>
        </row>
        <row r="36">
          <cell r="A36" t="str">
            <v>MSD</v>
          </cell>
        </row>
        <row r="37">
          <cell r="A37" t="str">
            <v>MSDU</v>
          </cell>
        </row>
        <row r="38">
          <cell r="A38" t="str">
            <v>MSU</v>
          </cell>
        </row>
        <row r="39">
          <cell r="A39" t="str">
            <v>N</v>
          </cell>
        </row>
        <row r="40">
          <cell r="A40" t="str">
            <v>N1</v>
          </cell>
        </row>
        <row r="41">
          <cell r="A41" t="str">
            <v>N2</v>
          </cell>
        </row>
        <row r="42">
          <cell r="A42" t="str">
            <v>NCP</v>
          </cell>
        </row>
        <row r="43">
          <cell r="A43" t="str">
            <v>ND</v>
          </cell>
        </row>
        <row r="44">
          <cell r="A44" t="str">
            <v>NPT</v>
          </cell>
        </row>
        <row r="45">
          <cell r="A45" t="str">
            <v>O</v>
          </cell>
        </row>
        <row r="46">
          <cell r="A46" t="str">
            <v>P</v>
          </cell>
        </row>
        <row r="47">
          <cell r="A47" t="str">
            <v>PE</v>
          </cell>
        </row>
        <row r="48">
          <cell r="A48" t="str">
            <v>POPR</v>
          </cell>
        </row>
        <row r="49">
          <cell r="A49" t="str">
            <v>POPRU</v>
          </cell>
        </row>
        <row r="50">
          <cell r="A50" t="str">
            <v>POPU</v>
          </cell>
        </row>
        <row r="51">
          <cell r="A51" t="str">
            <v>POPUD</v>
          </cell>
        </row>
        <row r="52">
          <cell r="A52" t="str">
            <v>PRPR</v>
          </cell>
        </row>
        <row r="53">
          <cell r="A53" t="str">
            <v>PRPRD</v>
          </cell>
        </row>
        <row r="54">
          <cell r="A54" t="str">
            <v>PRPU</v>
          </cell>
        </row>
        <row r="55">
          <cell r="A55" t="str">
            <v>PRPUD</v>
          </cell>
        </row>
        <row r="56">
          <cell r="A56" t="str">
            <v>PT2</v>
          </cell>
        </row>
        <row r="57">
          <cell r="A57" t="str">
            <v>PT3</v>
          </cell>
        </row>
        <row r="58">
          <cell r="A58" t="str">
            <v>PT4</v>
          </cell>
        </row>
        <row r="59">
          <cell r="A59" t="str">
            <v>RA</v>
          </cell>
        </row>
        <row r="60">
          <cell r="A60" t="str">
            <v>RB</v>
          </cell>
        </row>
        <row r="61">
          <cell r="A61" t="str">
            <v>RD</v>
          </cell>
        </row>
        <row r="62">
          <cell r="A62" t="str">
            <v>RM</v>
          </cell>
        </row>
        <row r="63">
          <cell r="A63" t="str">
            <v>S</v>
          </cell>
        </row>
        <row r="64">
          <cell r="A64" t="str">
            <v>SD</v>
          </cell>
        </row>
        <row r="65">
          <cell r="A65" t="str">
            <v>SDU</v>
          </cell>
        </row>
        <row r="66">
          <cell r="A66" t="str">
            <v>TB</v>
          </cell>
        </row>
        <row r="67">
          <cell r="A67" t="str">
            <v>TBD</v>
          </cell>
        </row>
        <row r="68">
          <cell r="A68" t="str">
            <v>TS</v>
          </cell>
        </row>
        <row r="69">
          <cell r="A69" t="str">
            <v>WC</v>
          </cell>
        </row>
        <row r="70">
          <cell r="A70" t="str">
            <v>XD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na Bottum" id="{96E067BE-AF3F-4F65-8896-A11E7B471CC7}" userId="S::Anna.Bottum@erm.com::7ba56eb0-f236-4acb-b799-0a48225fc126" providerId="AD"/>
</personList>
</file>

<file path=xl/theme/theme1.xml><?xml version="1.0" encoding="utf-8"?>
<a:theme xmlns:a="http://schemas.openxmlformats.org/drawingml/2006/main" name="Office Theme">
  <a:themeElements>
    <a:clrScheme name="ERM">
      <a:dk1>
        <a:srgbClr val="1C1C1C"/>
      </a:dk1>
      <a:lt1>
        <a:srgbClr val="FFFFFF"/>
      </a:lt1>
      <a:dk2>
        <a:srgbClr val="D1DDD3"/>
      </a:dk2>
      <a:lt2>
        <a:srgbClr val="00FFBE"/>
      </a:lt2>
      <a:accent1>
        <a:srgbClr val="018219"/>
      </a:accent1>
      <a:accent2>
        <a:srgbClr val="0A2C14"/>
      </a:accent2>
      <a:accent3>
        <a:srgbClr val="446D5D"/>
      </a:accent3>
      <a:accent4>
        <a:srgbClr val="82A78D"/>
      </a:accent4>
      <a:accent5>
        <a:srgbClr val="B7B2AA"/>
      </a:accent5>
      <a:accent6>
        <a:srgbClr val="82887E"/>
      </a:accent6>
      <a:hlink>
        <a:srgbClr val="1C1C1C"/>
      </a:hlink>
      <a:folHlink>
        <a:srgbClr val="1C1C1C"/>
      </a:folHlink>
    </a:clrScheme>
    <a:fontScheme name="Verdana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" dT="2025-12-16T20:57:09.22" personId="{96E067BE-AF3F-4F65-8896-A11E7B471CC7}" id="{407E9E07-79B8-4232-909C-2D5E248DEF1A}">
    <text>Check LAB_REPNO value below</text>
  </threadedComment>
  <threadedComment ref="C28" dT="2025-12-16T20:56:53.10" personId="{96E067BE-AF3F-4F65-8896-A11E7B471CC7}" id="{659B3FDF-4920-4E12-9EA1-8B74757B947D}">
    <text>Check LABWO value above</text>
  </threadedComment>
</ThreadedComment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80F6F-686A-4A3F-905F-C0241646EB81}">
  <sheetPr filterMode="1"/>
  <dimension ref="A1:G953"/>
  <sheetViews>
    <sheetView workbookViewId="0">
      <pane ySplit="1" topLeftCell="A73" activePane="bottomLeft" state="frozen"/>
      <selection pane="bottomLeft" activeCell="C262" activeCellId="152" sqref="C1:C8 C11 C13:C15 C17 C19:C21 C30 C33:C34 C40 C65:C67 C73 C78:C83 C92:C93 C101 C105:C106 C110 C112:C113 C124:C127 C134 C149:C151 C154 C160 C163 C170:C171 C173 C177 C179:C181 C185:C186 C188 C190 C193 C195:C196 C198 C203 C206:C208 C211 C214 C218:C219 C226 C228 C238:C241 C246:C248 C250:C252 C254 C259:C260 C262:C264 C268:C269 C274 C276 C279:C284 C287 C292:C294 C296:C297 C301 C304 C306 C309:C313 C315 C319:C320 C323 C328:C329 C333 C335:C337 C340:C341 C343:C345 C349 C353 C358:C361 C365 C387:C388 C390:C392 C395:C396 C398:C400 C406:C412 C414:C417 C419 C423:C425 C427 C429:C431 C439 C442 C444 C453 C455:C456 C458 C462:C463 C465:C466 C468:C473 C475:C479 C484 C490:C491 C493 C495 C497 C499:C504 C506:C507 C509:C512 C516:C518 C521 C534 C538 C546 C550:C551 C554 C556 C558:C560 C562:C565 C568:C569 C582:C589 C954:C1048576 C11 C13:C15 C17 C19:C21 C30 C33:C34 C40 C65:C67 C73 C78:C83 C92:C93 C101 C105:C106 C110 C112:C113 C124:C127 C134 C149:C151 C154 C160 C163 C170:C171 C173 C177 C179:C181 C185:C186 C188 C190 C193 C195:C196 C198 C203 C206:C208 C211 C214 C218:C219 C226 C228 C238:C241 C246:C248 C250:C252 C254 C259:C260 C262:C264 C268:C269 C274 C276 C279:C284 C287 C292:C294 C296:C297 C301 C304 C306 C309:C313 C315 C319:C320 C323 C328:C329 C333 C335:C337 C340:C341 C343:C345 C349 C353 C358:C361 C365 C387:C388 C390:C392 C395:C396 C398:C400 C406:C412 C414:C417 C419 C423:C425 C427 C429:C431 C439 C442 C444 C453 C455:C456 C458 C462:C463 C465:C466 C468:C473 C475:C479 C484 C490:C491 C493 C495 C497 C499:C504 C506:C507 C509:C512 C516:C518 C521 C534 C538 C546 C550:C551 C554 C556 C558:C560 C562:C565 C568:C569 C582:C589 C954:C1048576"/>
    </sheetView>
  </sheetViews>
  <sheetFormatPr defaultColWidth="8.75" defaultRowHeight="15" x14ac:dyDescent="0.25"/>
  <cols>
    <col min="1" max="1" width="12.75" style="16" bestFit="1" customWidth="1"/>
    <col min="2" max="2" width="47.75" style="16" bestFit="1" customWidth="1"/>
    <col min="3" max="3" width="14.75" style="16" bestFit="1" customWidth="1"/>
    <col min="4" max="4" width="16.375" customWidth="1"/>
    <col min="5" max="5" width="12.625" style="16" bestFit="1" customWidth="1"/>
    <col min="6" max="6" width="10.625" style="16" customWidth="1"/>
    <col min="7" max="7" width="9.25" style="16" customWidth="1"/>
    <col min="8" max="16384" width="8.75" style="16"/>
  </cols>
  <sheetData>
    <row r="1" spans="1:7" x14ac:dyDescent="0.25">
      <c r="A1" s="17" t="s">
        <v>32</v>
      </c>
      <c r="B1" s="18" t="s">
        <v>1720</v>
      </c>
      <c r="C1" s="18" t="s">
        <v>1721</v>
      </c>
      <c r="D1" t="s">
        <v>1694</v>
      </c>
      <c r="E1" s="18" t="s">
        <v>1695</v>
      </c>
      <c r="F1" s="18" t="s">
        <v>1698</v>
      </c>
      <c r="G1" s="18" t="s">
        <v>1714</v>
      </c>
    </row>
    <row r="2" spans="1:7" customFormat="1" ht="12.75" x14ac:dyDescent="0.2">
      <c r="A2" s="14" t="s">
        <v>315</v>
      </c>
      <c r="B2" t="s">
        <v>1335</v>
      </c>
      <c r="C2" t="str">
        <f>VLOOKUP(B2,[1]rt_remap_detail!$E$3:$F$4082,2,0)</f>
        <v>7440-66-6</v>
      </c>
      <c r="D2" t="s">
        <v>1696</v>
      </c>
      <c r="E2" t="s">
        <v>1696</v>
      </c>
    </row>
    <row r="3" spans="1:7" customFormat="1" ht="12.75" x14ac:dyDescent="0.2">
      <c r="A3" s="9" t="s">
        <v>267</v>
      </c>
      <c r="B3" t="s">
        <v>1112</v>
      </c>
      <c r="C3" t="str">
        <f>VLOOKUP(B3,[1]rt_remap_detail!$E$3:$F$4082,2,0)</f>
        <v>1330-20-7</v>
      </c>
      <c r="D3" t="s">
        <v>1696</v>
      </c>
      <c r="E3" t="s">
        <v>1696</v>
      </c>
    </row>
    <row r="4" spans="1:7" customFormat="1" ht="12.75" x14ac:dyDescent="0.2">
      <c r="A4" s="9" t="s">
        <v>218</v>
      </c>
      <c r="B4" t="s">
        <v>1113</v>
      </c>
      <c r="C4" t="str">
        <f>VLOOKUP(B4,[1]rt_remap_detail!$E$3:$F$4082,2,0)</f>
        <v>MP-XYL</v>
      </c>
      <c r="D4" t="s">
        <v>1696</v>
      </c>
      <c r="E4" t="s">
        <v>1696</v>
      </c>
    </row>
    <row r="5" spans="1:7" customFormat="1" ht="12.75" x14ac:dyDescent="0.2">
      <c r="A5" s="9" t="s">
        <v>189</v>
      </c>
      <c r="B5" t="s">
        <v>1181</v>
      </c>
      <c r="C5" t="str">
        <f>VLOOKUP(B5,[1]rt_remap_detail!$E$3:$F$4082,2,0)</f>
        <v>75-01-4</v>
      </c>
      <c r="D5" t="s">
        <v>1696</v>
      </c>
      <c r="E5" t="s">
        <v>1696</v>
      </c>
    </row>
    <row r="6" spans="1:7" customFormat="1" ht="12.75" x14ac:dyDescent="0.2">
      <c r="A6" s="9" t="s">
        <v>210</v>
      </c>
      <c r="B6" t="s">
        <v>1193</v>
      </c>
      <c r="C6" t="str">
        <f>VLOOKUP(B6,[1]rt_remap_detail!$E$3:$F$4082,2,0)</f>
        <v>108-05-4</v>
      </c>
      <c r="D6" t="s">
        <v>1696</v>
      </c>
      <c r="E6" t="s">
        <v>1696</v>
      </c>
    </row>
    <row r="7" spans="1:7" customFormat="1" ht="12.75" x14ac:dyDescent="0.2">
      <c r="A7" s="9" t="s">
        <v>259</v>
      </c>
      <c r="B7" t="s">
        <v>1333</v>
      </c>
      <c r="C7" t="str">
        <f>VLOOKUP(B7,[1]rt_remap_detail!$E$3:$F$4082,2,0)</f>
        <v>7440-62-2</v>
      </c>
      <c r="D7" t="s">
        <v>1696</v>
      </c>
      <c r="E7" t="s">
        <v>1696</v>
      </c>
    </row>
    <row r="8" spans="1:7" x14ac:dyDescent="0.25">
      <c r="A8" s="16" t="s">
        <v>717</v>
      </c>
      <c r="B8" s="16" t="s">
        <v>1336</v>
      </c>
      <c r="C8" s="16" t="s">
        <v>717</v>
      </c>
      <c r="D8" t="s">
        <v>1696</v>
      </c>
      <c r="E8" s="16" t="s">
        <v>1696</v>
      </c>
      <c r="F8" s="16" t="s">
        <v>1719</v>
      </c>
    </row>
    <row r="9" spans="1:7" customFormat="1" ht="12.75" hidden="1" x14ac:dyDescent="0.2">
      <c r="A9" s="14" t="s">
        <v>606</v>
      </c>
      <c r="B9" t="s">
        <v>1544</v>
      </c>
      <c r="C9" t="str">
        <f>VLOOKUP(B9,[1]rt_remap_detail!$E$3:$F$4082,2,0)</f>
        <v>TURB</v>
      </c>
      <c r="D9" t="s">
        <v>1696</v>
      </c>
      <c r="E9" t="s">
        <v>1697</v>
      </c>
    </row>
    <row r="10" spans="1:7" customFormat="1" ht="12.75" hidden="1" x14ac:dyDescent="0.2">
      <c r="A10" s="9" t="s">
        <v>1100</v>
      </c>
      <c r="B10" t="s">
        <v>1693</v>
      </c>
      <c r="C10" t="str">
        <f>VLOOKUP(B10,[1]rt_remap_detail!$E$3:$F$4082,2,0)</f>
        <v>1582-09-8</v>
      </c>
      <c r="D10" t="s">
        <v>1696</v>
      </c>
      <c r="E10" t="s">
        <v>1697</v>
      </c>
    </row>
    <row r="11" spans="1:7" customFormat="1" ht="12.75" x14ac:dyDescent="0.2">
      <c r="A11" s="10" t="s">
        <v>994</v>
      </c>
      <c r="B11" t="s">
        <v>1182</v>
      </c>
      <c r="C11" t="str">
        <f>VLOOKUP(B11,[1]rt_remap_detail!$E$3:$F$4082,2,0)</f>
        <v>98-08-8</v>
      </c>
      <c r="D11" t="s">
        <v>1696</v>
      </c>
      <c r="E11" t="s">
        <v>1696</v>
      </c>
    </row>
    <row r="12" spans="1:7" customFormat="1" ht="12.75" hidden="1" x14ac:dyDescent="0.2">
      <c r="A12" s="10" t="s">
        <v>1043</v>
      </c>
      <c r="B12" t="s">
        <v>1678</v>
      </c>
      <c r="C12" t="str">
        <f>VLOOKUP(B12,[1]rt_remap_detail!$E$3:$F$4082,2,0)</f>
        <v>121-44-8</v>
      </c>
      <c r="D12" t="s">
        <v>1696</v>
      </c>
      <c r="E12" t="s">
        <v>1697</v>
      </c>
    </row>
    <row r="13" spans="1:7" customFormat="1" ht="12.75" x14ac:dyDescent="0.2">
      <c r="A13" s="10" t="s">
        <v>623</v>
      </c>
      <c r="B13" t="s">
        <v>1232</v>
      </c>
      <c r="C13" t="str">
        <f>VLOOKUP(B13,[1]rt_remap_detail!$E$3:$F$4082,2,0)</f>
        <v>327-98-0</v>
      </c>
      <c r="D13" t="s">
        <v>1696</v>
      </c>
      <c r="E13" t="s">
        <v>1696</v>
      </c>
    </row>
    <row r="14" spans="1:7" customFormat="1" ht="12.75" x14ac:dyDescent="0.2">
      <c r="A14" s="9" t="s">
        <v>192</v>
      </c>
      <c r="B14" t="s">
        <v>1153</v>
      </c>
      <c r="C14" t="str">
        <f>VLOOKUP(B14,[1]rt_remap_detail!$E$3:$F$4082,2,0)</f>
        <v>75-69-4</v>
      </c>
      <c r="D14" t="s">
        <v>1696</v>
      </c>
      <c r="E14" t="s">
        <v>1696</v>
      </c>
    </row>
    <row r="15" spans="1:7" customFormat="1" ht="12.75" x14ac:dyDescent="0.2">
      <c r="A15" s="9" t="s">
        <v>183</v>
      </c>
      <c r="B15" t="s">
        <v>1176</v>
      </c>
      <c r="C15" t="str">
        <f>VLOOKUP(B15,[1]rt_remap_detail!$E$3:$F$4082,2,0)</f>
        <v>79-01-6</v>
      </c>
      <c r="D15" t="s">
        <v>1696</v>
      </c>
      <c r="E15" t="s">
        <v>1696</v>
      </c>
    </row>
    <row r="16" spans="1:7" customFormat="1" ht="12.75" hidden="1" x14ac:dyDescent="0.2">
      <c r="A16" s="9" t="s">
        <v>1084</v>
      </c>
      <c r="B16" t="s">
        <v>1688</v>
      </c>
      <c r="C16" t="str">
        <f>VLOOKUP(B16,[1]rt_remap_detail!$E$3:$F$4082,2,0)</f>
        <v>688-73-3</v>
      </c>
      <c r="D16" t="s">
        <v>1696</v>
      </c>
      <c r="E16" t="s">
        <v>1697</v>
      </c>
    </row>
    <row r="17" spans="1:5" customFormat="1" ht="12.75" x14ac:dyDescent="0.2">
      <c r="A17" s="10" t="s">
        <v>1326</v>
      </c>
      <c r="B17" t="s">
        <v>1327</v>
      </c>
      <c r="C17" t="str">
        <f>VLOOKUP(B17,[1]rt_remap_detail!$E$3:$F$4082,2,0)</f>
        <v>126-73-8</v>
      </c>
      <c r="E17" t="s">
        <v>1696</v>
      </c>
    </row>
    <row r="18" spans="1:5" customFormat="1" ht="12.75" hidden="1" x14ac:dyDescent="0.2">
      <c r="A18" s="9" t="s">
        <v>435</v>
      </c>
      <c r="B18" t="s">
        <v>1473</v>
      </c>
      <c r="C18" t="str">
        <f>VLOOKUP(B18,[1]rt_remap_detail!$E$3:$F$4082,2,0)</f>
        <v>110-57-6</v>
      </c>
      <c r="D18" t="s">
        <v>1696</v>
      </c>
      <c r="E18" t="s">
        <v>1697</v>
      </c>
    </row>
    <row r="19" spans="1:5" customFormat="1" ht="12.75" x14ac:dyDescent="0.2">
      <c r="A19" s="9" t="s">
        <v>194</v>
      </c>
      <c r="B19" t="s">
        <v>1145</v>
      </c>
      <c r="C19" t="str">
        <f>VLOOKUP(B19,[1]rt_remap_detail!$E$3:$F$4082,2,0)</f>
        <v>10061-02-6</v>
      </c>
      <c r="D19" t="s">
        <v>1696</v>
      </c>
      <c r="E19" t="s">
        <v>1696</v>
      </c>
    </row>
    <row r="20" spans="1:5" customFormat="1" ht="12.75" x14ac:dyDescent="0.2">
      <c r="A20" s="9" t="s">
        <v>175</v>
      </c>
      <c r="B20" t="s">
        <v>1142</v>
      </c>
      <c r="C20" t="str">
        <f>VLOOKUP(B20,[1]rt_remap_detail!$E$3:$F$4082,2,0)</f>
        <v>156-60-5</v>
      </c>
      <c r="D20" t="s">
        <v>1696</v>
      </c>
      <c r="E20" t="s">
        <v>1696</v>
      </c>
    </row>
    <row r="21" spans="1:5" customFormat="1" ht="12.75" x14ac:dyDescent="0.2">
      <c r="A21" s="10" t="s">
        <v>550</v>
      </c>
      <c r="B21" t="s">
        <v>1331</v>
      </c>
      <c r="C21" t="str">
        <f>VLOOKUP(B21,[1]rt_remap_detail!$E$3:$F$4082,2,0)</f>
        <v>8001-35-2</v>
      </c>
      <c r="D21" t="s">
        <v>1696</v>
      </c>
      <c r="E21" t="s">
        <v>1696</v>
      </c>
    </row>
    <row r="22" spans="1:5" customFormat="1" ht="12.75" hidden="1" x14ac:dyDescent="0.2">
      <c r="A22" s="9" t="s">
        <v>1053</v>
      </c>
      <c r="B22" t="s">
        <v>1387</v>
      </c>
      <c r="C22" t="e">
        <f>VLOOKUP(B22,[1]rt_remap_detail!$E$3:$F$4082,2,0)</f>
        <v>#N/A</v>
      </c>
      <c r="D22" t="s">
        <v>1696</v>
      </c>
      <c r="E22" t="s">
        <v>1697</v>
      </c>
    </row>
    <row r="23" spans="1:5" customFormat="1" ht="12.75" hidden="1" x14ac:dyDescent="0.2">
      <c r="A23" s="10" t="s">
        <v>703</v>
      </c>
      <c r="B23" t="s">
        <v>1581</v>
      </c>
      <c r="C23" t="str">
        <f>VLOOKUP(B23,[1]rt_remap_detail!$E$3:$F$4082,2,0)</f>
        <v>TPH-VOL</v>
      </c>
      <c r="D23" t="s">
        <v>1696</v>
      </c>
      <c r="E23" t="s">
        <v>1697</v>
      </c>
    </row>
    <row r="24" spans="1:5" customFormat="1" ht="12.75" hidden="1" x14ac:dyDescent="0.2">
      <c r="A24" s="10" t="s">
        <v>978</v>
      </c>
      <c r="B24" t="s">
        <v>1378</v>
      </c>
      <c r="C24" t="e">
        <f>VLOOKUP(B24,[1]rt_remap_detail!$E$3:$F$4082,2,0)</f>
        <v>#N/A</v>
      </c>
      <c r="D24" t="s">
        <v>1696</v>
      </c>
      <c r="E24" t="s">
        <v>1697</v>
      </c>
    </row>
    <row r="25" spans="1:5" customFormat="1" ht="12.75" hidden="1" x14ac:dyDescent="0.2">
      <c r="A25" s="10" t="s">
        <v>625</v>
      </c>
      <c r="B25" t="s">
        <v>1354</v>
      </c>
      <c r="C25" t="str">
        <f>VLOOKUP(B25,[1]rt_remap_detail!$E$3:$F$4082,2,0)</f>
        <v>THM</v>
      </c>
      <c r="D25" t="s">
        <v>1696</v>
      </c>
      <c r="E25" t="s">
        <v>1697</v>
      </c>
    </row>
    <row r="26" spans="1:5" customFormat="1" ht="12.75" hidden="1" x14ac:dyDescent="0.2">
      <c r="A26" s="10" t="s">
        <v>684</v>
      </c>
      <c r="B26" t="s">
        <v>1355</v>
      </c>
      <c r="C26" t="str">
        <f>VLOOKUP(B26,[1]rt_remap_detail!$E$3:$F$4082,2,0)</f>
        <v>TSS</v>
      </c>
      <c r="D26" t="s">
        <v>1696</v>
      </c>
      <c r="E26" t="s">
        <v>1697</v>
      </c>
    </row>
    <row r="27" spans="1:5" customFormat="1" ht="12.75" hidden="1" x14ac:dyDescent="0.2">
      <c r="A27" s="9" t="s">
        <v>887</v>
      </c>
      <c r="B27" t="s">
        <v>1367</v>
      </c>
      <c r="C27" t="str">
        <f>VLOOKUP(B27,[1]rt_remap_detail!$E$3:$F$4082,2,0)</f>
        <v>TSOLIDS</v>
      </c>
      <c r="D27" t="s">
        <v>1696</v>
      </c>
      <c r="E27" t="s">
        <v>1697</v>
      </c>
    </row>
    <row r="28" spans="1:5" customFormat="1" ht="12.75" hidden="1" x14ac:dyDescent="0.2">
      <c r="A28" s="10" t="s">
        <v>555</v>
      </c>
      <c r="B28" t="s">
        <v>1523</v>
      </c>
      <c r="C28" t="str">
        <f>VLOOKUP(B28,[1]rt_remap_detail!$E$3:$F$4082,2,0)</f>
        <v>TOTPCB</v>
      </c>
      <c r="D28" t="s">
        <v>1696</v>
      </c>
      <c r="E28" t="s">
        <v>1697</v>
      </c>
    </row>
    <row r="29" spans="1:5" customFormat="1" ht="12.75" hidden="1" x14ac:dyDescent="0.2">
      <c r="A29" s="9" t="s">
        <v>778</v>
      </c>
      <c r="B29" t="s">
        <v>1606</v>
      </c>
      <c r="C29" t="str">
        <f>VLOOKUP(B29,[1]rt_remap_detail!$E$3:$F$4082,2,0)</f>
        <v>TPH-STOD</v>
      </c>
      <c r="D29" t="s">
        <v>1696</v>
      </c>
      <c r="E29" t="s">
        <v>1697</v>
      </c>
    </row>
    <row r="30" spans="1:5" customFormat="1" ht="12.75" x14ac:dyDescent="0.2">
      <c r="A30" s="10" t="s">
        <v>693</v>
      </c>
      <c r="B30" t="s">
        <v>1332</v>
      </c>
      <c r="C30" t="str">
        <f>VLOOKUP(B30,[1]rt_remap_detail!$E$3:$F$4082,2,0)</f>
        <v>PHCMO</v>
      </c>
      <c r="D30" t="s">
        <v>1696</v>
      </c>
      <c r="E30" t="s">
        <v>1696</v>
      </c>
    </row>
    <row r="31" spans="1:5" customFormat="1" ht="12.75" hidden="1" x14ac:dyDescent="0.2">
      <c r="A31" s="9" t="s">
        <v>775</v>
      </c>
      <c r="B31" t="s">
        <v>1604</v>
      </c>
      <c r="C31" t="str">
        <f>VLOOKUP(B31,[1]rt_remap_detail!$E$3:$F$4082,2,0)</f>
        <v>8008-20-6</v>
      </c>
      <c r="D31" t="s">
        <v>1696</v>
      </c>
      <c r="E31" t="s">
        <v>1697</v>
      </c>
    </row>
    <row r="32" spans="1:5" customFormat="1" ht="12.75" hidden="1" x14ac:dyDescent="0.2">
      <c r="A32" s="10" t="s">
        <v>774</v>
      </c>
      <c r="B32" t="s">
        <v>1603</v>
      </c>
      <c r="C32" t="str">
        <f>VLOOKUP(B32,[1]rt_remap_detail!$E$3:$F$4082,2,0)</f>
        <v>50815-00-4</v>
      </c>
      <c r="D32" t="s">
        <v>1696</v>
      </c>
      <c r="E32" t="s">
        <v>1697</v>
      </c>
    </row>
    <row r="33" spans="1:5" customFormat="1" ht="12.75" x14ac:dyDescent="0.2">
      <c r="A33" s="10" t="s">
        <v>527</v>
      </c>
      <c r="B33" t="s">
        <v>1111</v>
      </c>
      <c r="C33" t="str">
        <f>VLOOKUP(B33,[1]rt_remap_detail!$E$3:$F$4082,2,0)</f>
        <v>PHCG</v>
      </c>
      <c r="D33" t="s">
        <v>1696</v>
      </c>
      <c r="E33" t="s">
        <v>1696</v>
      </c>
    </row>
    <row r="34" spans="1:5" customFormat="1" ht="12.75" x14ac:dyDescent="0.2">
      <c r="A34" s="10" t="s">
        <v>708</v>
      </c>
      <c r="B34" t="s">
        <v>1310</v>
      </c>
      <c r="C34" t="str">
        <f>VLOOKUP(B34,[1]rt_remap_detail!$E$3:$F$4082,2,0)</f>
        <v>PHCD</v>
      </c>
      <c r="D34" t="s">
        <v>1696</v>
      </c>
      <c r="E34" t="s">
        <v>1696</v>
      </c>
    </row>
    <row r="35" spans="1:5" customFormat="1" ht="12.75" hidden="1" x14ac:dyDescent="0.2">
      <c r="A35" s="10" t="s">
        <v>707</v>
      </c>
      <c r="B35" t="s">
        <v>1583</v>
      </c>
      <c r="C35" t="str">
        <f>VLOOKUP(B35,[1]rt_remap_detail!$E$3:$F$4082,2,0)</f>
        <v>TPH-AVG</v>
      </c>
      <c r="D35" t="s">
        <v>1696</v>
      </c>
      <c r="E35" t="s">
        <v>1697</v>
      </c>
    </row>
    <row r="36" spans="1:5" customFormat="1" ht="12.75" hidden="1" x14ac:dyDescent="0.2">
      <c r="A36" s="10" t="s">
        <v>793</v>
      </c>
      <c r="B36" t="s">
        <v>1613</v>
      </c>
      <c r="C36" t="str">
        <f>VLOOKUP(B36,[1]rt_remap_detail!$E$3:$F$4082,2,0)</f>
        <v>PHCC9C10</v>
      </c>
      <c r="D36" t="s">
        <v>1696</v>
      </c>
      <c r="E36" t="s">
        <v>1697</v>
      </c>
    </row>
    <row r="37" spans="1:5" customFormat="1" ht="12.75" hidden="1" x14ac:dyDescent="0.2">
      <c r="A37" s="9" t="s">
        <v>789</v>
      </c>
      <c r="B37" t="s">
        <v>1610</v>
      </c>
      <c r="C37" t="str">
        <f>VLOOKUP(B37,[1]rt_remap_detail!$E$3:$F$4082,2,0)</f>
        <v>PHCC8</v>
      </c>
      <c r="D37" t="s">
        <v>1696</v>
      </c>
      <c r="E37" t="s">
        <v>1697</v>
      </c>
    </row>
    <row r="38" spans="1:5" customFormat="1" ht="12.75" hidden="1" x14ac:dyDescent="0.2">
      <c r="A38" s="9" t="s">
        <v>816</v>
      </c>
      <c r="B38" t="s">
        <v>1616</v>
      </c>
      <c r="C38" t="str">
        <f>VLOOKUP(B38,[1]rt_remap_detail!$E$3:$F$4082,2,0)</f>
        <v>PHCC7</v>
      </c>
      <c r="D38" t="s">
        <v>1696</v>
      </c>
      <c r="E38" t="s">
        <v>1697</v>
      </c>
    </row>
    <row r="39" spans="1:5" customFormat="1" ht="12.75" hidden="1" x14ac:dyDescent="0.2">
      <c r="A39" s="9" t="s">
        <v>788</v>
      </c>
      <c r="B39" t="s">
        <v>1609</v>
      </c>
      <c r="C39" t="str">
        <f>VLOOKUP(B39,[1]rt_remap_detail!$E$3:$F$4082,2,0)</f>
        <v>PHCC6C44</v>
      </c>
      <c r="D39" t="s">
        <v>1696</v>
      </c>
      <c r="E39" t="s">
        <v>1697</v>
      </c>
    </row>
    <row r="40" spans="1:5" x14ac:dyDescent="0.25">
      <c r="A40" s="16" t="s">
        <v>744</v>
      </c>
      <c r="B40" s="16" t="s">
        <v>1699</v>
      </c>
      <c r="C40" s="16" t="s">
        <v>1700</v>
      </c>
      <c r="D40" t="s">
        <v>1696</v>
      </c>
      <c r="E40" s="16" t="s">
        <v>1696</v>
      </c>
    </row>
    <row r="41" spans="1:5" customFormat="1" ht="12.75" hidden="1" x14ac:dyDescent="0.2">
      <c r="A41" s="15" t="s">
        <v>1068</v>
      </c>
      <c r="B41" t="s">
        <v>1400</v>
      </c>
      <c r="C41" t="str">
        <f>VLOOKUP(B41,[1]rt_remap_detail!$E$3:$F$4082,2,0)</f>
        <v>PHCC6C10</v>
      </c>
      <c r="D41" t="s">
        <v>1696</v>
      </c>
      <c r="E41" t="s">
        <v>1697</v>
      </c>
    </row>
    <row r="42" spans="1:5" customFormat="1" ht="12.75" hidden="1" x14ac:dyDescent="0.2">
      <c r="A42" s="10" t="s">
        <v>790</v>
      </c>
      <c r="B42" t="s">
        <v>1611</v>
      </c>
      <c r="C42" t="str">
        <f>VLOOKUP(B42,[1]rt_remap_detail!$E$3:$F$4082,2,0)</f>
        <v>PHCC6</v>
      </c>
      <c r="D42" t="s">
        <v>1696</v>
      </c>
      <c r="E42" t="s">
        <v>1697</v>
      </c>
    </row>
    <row r="43" spans="1:5" customFormat="1" ht="12.75" hidden="1" x14ac:dyDescent="0.2">
      <c r="A43" s="9" t="s">
        <v>666</v>
      </c>
      <c r="B43" t="s">
        <v>1567</v>
      </c>
      <c r="C43" t="str">
        <f>VLOOKUP(B43,[1]rt_remap_detail!$E$3:$F$4082,2,0)</f>
        <v>PHCC41C44</v>
      </c>
      <c r="D43" t="s">
        <v>1696</v>
      </c>
      <c r="E43" t="s">
        <v>1697</v>
      </c>
    </row>
    <row r="44" spans="1:5" customFormat="1" ht="12.75" hidden="1" x14ac:dyDescent="0.2">
      <c r="A44" s="9" t="s">
        <v>508</v>
      </c>
      <c r="B44" t="s">
        <v>1507</v>
      </c>
      <c r="C44" t="str">
        <f>VLOOKUP(B44,[1]rt_remap_detail!$E$3:$F$4082,2,0)</f>
        <v>PHCC37C40</v>
      </c>
      <c r="D44" t="s">
        <v>1696</v>
      </c>
      <c r="E44" t="s">
        <v>1697</v>
      </c>
    </row>
    <row r="45" spans="1:5" customFormat="1" ht="12.75" hidden="1" x14ac:dyDescent="0.2">
      <c r="A45" s="10" t="s">
        <v>507</v>
      </c>
      <c r="B45" t="s">
        <v>1506</v>
      </c>
      <c r="C45" t="str">
        <f>VLOOKUP(B45,[1]rt_remap_detail!$E$3:$F$4082,2,0)</f>
        <v>PHCC33C36</v>
      </c>
      <c r="D45" t="s">
        <v>1696</v>
      </c>
      <c r="E45" t="s">
        <v>1697</v>
      </c>
    </row>
    <row r="46" spans="1:5" customFormat="1" ht="12.75" hidden="1" x14ac:dyDescent="0.2">
      <c r="A46" s="10" t="s">
        <v>510</v>
      </c>
      <c r="B46" t="s">
        <v>1509</v>
      </c>
      <c r="C46" t="str">
        <f>VLOOKUP(B46,[1]rt_remap_detail!$E$3:$F$4082,2,0)</f>
        <v>PHCC29C32</v>
      </c>
      <c r="D46" t="s">
        <v>1696</v>
      </c>
      <c r="E46" t="s">
        <v>1697</v>
      </c>
    </row>
    <row r="47" spans="1:5" customFormat="1" ht="12.75" hidden="1" x14ac:dyDescent="0.2">
      <c r="A47" s="9" t="s">
        <v>675</v>
      </c>
      <c r="B47" t="s">
        <v>1572</v>
      </c>
      <c r="C47" t="str">
        <f>VLOOKUP(B47,[1]rt_remap_detail!$E$3:$F$4082,2,0)</f>
        <v>PHCC28C40</v>
      </c>
      <c r="D47" t="s">
        <v>1696</v>
      </c>
      <c r="E47" t="s">
        <v>1697</v>
      </c>
    </row>
    <row r="48" spans="1:5" customFormat="1" ht="12.75" hidden="1" x14ac:dyDescent="0.2">
      <c r="A48" s="9" t="s">
        <v>668</v>
      </c>
      <c r="B48" t="s">
        <v>1569</v>
      </c>
      <c r="C48" t="str">
        <f>VLOOKUP(B48,[1]rt_remap_detail!$E$3:$F$4082,2,0)</f>
        <v>PHCC25C28</v>
      </c>
      <c r="D48" t="s">
        <v>1696</v>
      </c>
      <c r="E48" t="s">
        <v>1697</v>
      </c>
    </row>
    <row r="49" spans="1:5" customFormat="1" ht="12.75" hidden="1" x14ac:dyDescent="0.2">
      <c r="A49" s="9" t="s">
        <v>659</v>
      </c>
      <c r="B49" t="s">
        <v>1562</v>
      </c>
      <c r="C49" t="str">
        <f>VLOOKUP(B49,[1]rt_remap_detail!$E$3:$F$4082,2,0)</f>
        <v>PHCC23C24</v>
      </c>
      <c r="D49" t="s">
        <v>1696</v>
      </c>
      <c r="E49" t="s">
        <v>1697</v>
      </c>
    </row>
    <row r="50" spans="1:5" customFormat="1" ht="12.75" hidden="1" x14ac:dyDescent="0.2">
      <c r="A50" s="10" t="s">
        <v>505</v>
      </c>
      <c r="B50" t="s">
        <v>1505</v>
      </c>
      <c r="C50" t="str">
        <f>VLOOKUP(B50,[1]rt_remap_detail!$E$3:$F$4082,2,0)</f>
        <v>PHCC21C22</v>
      </c>
      <c r="D50" t="s">
        <v>1696</v>
      </c>
      <c r="E50" t="s">
        <v>1697</v>
      </c>
    </row>
    <row r="51" spans="1:5" customFormat="1" ht="12.75" hidden="1" x14ac:dyDescent="0.2">
      <c r="A51" s="9" t="s">
        <v>512</v>
      </c>
      <c r="B51" t="s">
        <v>1510</v>
      </c>
      <c r="C51" t="str">
        <f>VLOOKUP(B51,[1]rt_remap_detail!$E$3:$F$4082,2,0)</f>
        <v>PHCC19C20</v>
      </c>
      <c r="D51" t="s">
        <v>1696</v>
      </c>
      <c r="E51" t="s">
        <v>1697</v>
      </c>
    </row>
    <row r="52" spans="1:5" customFormat="1" ht="12.75" hidden="1" x14ac:dyDescent="0.2">
      <c r="A52" s="10" t="s">
        <v>502</v>
      </c>
      <c r="B52" t="s">
        <v>1503</v>
      </c>
      <c r="C52" t="str">
        <f>VLOOKUP(B52,[1]rt_remap_detail!$E$3:$F$4082,2,0)</f>
        <v>PHCC17C18</v>
      </c>
      <c r="D52" t="s">
        <v>1696</v>
      </c>
      <c r="E52" t="s">
        <v>1697</v>
      </c>
    </row>
    <row r="53" spans="1:5" customFormat="1" ht="12.75" hidden="1" x14ac:dyDescent="0.2">
      <c r="A53" s="10" t="s">
        <v>513</v>
      </c>
      <c r="B53" t="s">
        <v>1511</v>
      </c>
      <c r="C53" t="str">
        <f>VLOOKUP(B53,[1]rt_remap_detail!$E$3:$F$4082,2,0)</f>
        <v>PHCC15C16</v>
      </c>
      <c r="D53" t="s">
        <v>1696</v>
      </c>
      <c r="E53" t="s">
        <v>1697</v>
      </c>
    </row>
    <row r="54" spans="1:5" customFormat="1" ht="12.75" hidden="1" x14ac:dyDescent="0.2">
      <c r="A54" s="9" t="s">
        <v>667</v>
      </c>
      <c r="B54" t="s">
        <v>1568</v>
      </c>
      <c r="C54" t="str">
        <f>VLOOKUP(B54,[1]rt_remap_detail!$E$3:$F$4082,2,0)</f>
        <v>PHCC13C14</v>
      </c>
      <c r="D54" t="s">
        <v>1696</v>
      </c>
      <c r="E54" t="s">
        <v>1697</v>
      </c>
    </row>
    <row r="55" spans="1:5" customFormat="1" ht="12.75" hidden="1" x14ac:dyDescent="0.2">
      <c r="A55" s="9" t="s">
        <v>794</v>
      </c>
      <c r="B55" t="s">
        <v>1614</v>
      </c>
      <c r="C55" t="str">
        <f>VLOOKUP(B55,[1]rt_remap_detail!$E$3:$F$4082,2,0)</f>
        <v>PHCC11C12</v>
      </c>
      <c r="D55" t="s">
        <v>1696</v>
      </c>
      <c r="E55" t="s">
        <v>1697</v>
      </c>
    </row>
    <row r="56" spans="1:5" customFormat="1" ht="12.75" hidden="1" x14ac:dyDescent="0.2">
      <c r="A56" s="10" t="s">
        <v>807</v>
      </c>
      <c r="B56" t="s">
        <v>1615</v>
      </c>
      <c r="C56" t="str">
        <f>VLOOKUP(B56,[1]rt_remap_detail!$E$3:$F$4082,2,0)</f>
        <v>PHCC10C28</v>
      </c>
      <c r="D56" t="s">
        <v>1696</v>
      </c>
      <c r="E56" t="s">
        <v>1697</v>
      </c>
    </row>
    <row r="57" spans="1:5" customFormat="1" ht="12.75" hidden="1" x14ac:dyDescent="0.2">
      <c r="A57" s="10" t="s">
        <v>643</v>
      </c>
      <c r="B57" t="s">
        <v>1556</v>
      </c>
      <c r="C57" t="str">
        <f>VLOOKUP(B57,[1]rt_remap_detail!$E$3:$F$4082,2,0)</f>
        <v>36088-22-9</v>
      </c>
      <c r="D57" t="s">
        <v>1696</v>
      </c>
      <c r="E57" t="s">
        <v>1697</v>
      </c>
    </row>
    <row r="58" spans="1:5" customFormat="1" ht="12.75" hidden="1" x14ac:dyDescent="0.2">
      <c r="A58" s="9" t="s">
        <v>817</v>
      </c>
      <c r="B58" t="s">
        <v>1362</v>
      </c>
      <c r="C58" t="e">
        <f>VLOOKUP(B58,[1]rt_remap_detail!$E$3:$F$4082,2,0)</f>
        <v>#N/A</v>
      </c>
      <c r="D58" t="s">
        <v>1696</v>
      </c>
      <c r="E58" t="s">
        <v>1697</v>
      </c>
    </row>
    <row r="59" spans="1:5" customFormat="1" ht="12.75" hidden="1" x14ac:dyDescent="0.2">
      <c r="A59" s="10" t="s">
        <v>254</v>
      </c>
      <c r="B59" t="s">
        <v>1412</v>
      </c>
      <c r="C59" t="str">
        <f>VLOOKUP(B59,[1]rt_remap_detail!$E$3:$F$4082,2,0)</f>
        <v>TOC</v>
      </c>
      <c r="D59" t="s">
        <v>1696</v>
      </c>
      <c r="E59" t="s">
        <v>1697</v>
      </c>
    </row>
    <row r="60" spans="1:5" customFormat="1" ht="12.75" hidden="1" x14ac:dyDescent="0.2">
      <c r="A60" s="9" t="s">
        <v>441</v>
      </c>
      <c r="B60" t="s">
        <v>1347</v>
      </c>
      <c r="C60" t="e">
        <f>VLOOKUP(B60,[1]rt_remap_detail!$E$3:$F$4082,2,0)</f>
        <v>#N/A</v>
      </c>
      <c r="D60" t="s">
        <v>1696</v>
      </c>
      <c r="E60" t="s">
        <v>1697</v>
      </c>
    </row>
    <row r="61" spans="1:5" customFormat="1" ht="12.75" hidden="1" x14ac:dyDescent="0.2">
      <c r="A61" s="10" t="s">
        <v>274</v>
      </c>
      <c r="B61" t="s">
        <v>1431</v>
      </c>
      <c r="C61" t="str">
        <f>VLOOKUP(B61,[1]rt_remap_detail!$E$3:$F$4082,2,0)</f>
        <v>34465-46-8</v>
      </c>
      <c r="D61" t="s">
        <v>1696</v>
      </c>
      <c r="E61" t="s">
        <v>1697</v>
      </c>
    </row>
    <row r="62" spans="1:5" customFormat="1" ht="12.75" hidden="1" x14ac:dyDescent="0.2">
      <c r="A62" s="9" t="s">
        <v>368</v>
      </c>
      <c r="B62" t="s">
        <v>1453</v>
      </c>
      <c r="C62" t="str">
        <f>VLOOKUP(B62,[1]rt_remap_detail!$E$3:$F$4082,2,0)</f>
        <v>37871-00-4</v>
      </c>
      <c r="D62" t="s">
        <v>1696</v>
      </c>
      <c r="E62" t="s">
        <v>1697</v>
      </c>
    </row>
    <row r="63" spans="1:5" customFormat="1" ht="12.75" hidden="1" x14ac:dyDescent="0.2">
      <c r="A63" s="9" t="s">
        <v>726</v>
      </c>
      <c r="B63" t="s">
        <v>1589</v>
      </c>
      <c r="C63" t="str">
        <f>VLOOKUP(B63,[1]rt_remap_detail!$E$3:$F$4082,2,0)</f>
        <v>TPH-EXT</v>
      </c>
      <c r="D63" t="s">
        <v>1696</v>
      </c>
      <c r="E63" t="s">
        <v>1697</v>
      </c>
    </row>
    <row r="64" spans="1:5" customFormat="1" ht="12.75" hidden="1" x14ac:dyDescent="0.2">
      <c r="A64" s="9" t="s">
        <v>366</v>
      </c>
      <c r="B64" t="s">
        <v>1342</v>
      </c>
      <c r="C64" t="str">
        <f>VLOOKUP(B64,[1]rt_remap_detail!$E$3:$F$4082,2,0)</f>
        <v>TDS</v>
      </c>
      <c r="D64" t="s">
        <v>1696</v>
      </c>
      <c r="E64" t="s">
        <v>1697</v>
      </c>
    </row>
    <row r="65" spans="1:5" customFormat="1" ht="12.75" x14ac:dyDescent="0.2">
      <c r="A65" s="9" t="s">
        <v>710</v>
      </c>
      <c r="B65" t="s">
        <v>1107</v>
      </c>
      <c r="C65" t="str">
        <f>VLOOKUP(B65,[1]rt_remap_detail!$E$3:$F$4082,2,0)</f>
        <v>2037-26-5</v>
      </c>
      <c r="D65" t="s">
        <v>1696</v>
      </c>
      <c r="E65" t="s">
        <v>1696</v>
      </c>
    </row>
    <row r="66" spans="1:5" customFormat="1" ht="12.75" x14ac:dyDescent="0.2">
      <c r="A66" s="10" t="s">
        <v>224</v>
      </c>
      <c r="B66" t="s">
        <v>1106</v>
      </c>
      <c r="C66" t="str">
        <f>VLOOKUP(B66,[1]rt_remap_detail!$E$3:$F$4082,2,0)</f>
        <v>108-88-3</v>
      </c>
      <c r="D66" t="s">
        <v>1696</v>
      </c>
      <c r="E66" t="s">
        <v>1696</v>
      </c>
    </row>
    <row r="67" spans="1:5" customFormat="1" ht="12.75" x14ac:dyDescent="0.2">
      <c r="A67" s="10" t="s">
        <v>543</v>
      </c>
      <c r="B67" t="s">
        <v>1701</v>
      </c>
      <c r="C67" t="s">
        <v>1702</v>
      </c>
      <c r="D67" t="s">
        <v>1696</v>
      </c>
      <c r="E67" t="s">
        <v>1696</v>
      </c>
    </row>
    <row r="68" spans="1:5" customFormat="1" ht="12.75" hidden="1" x14ac:dyDescent="0.2">
      <c r="A68" s="9" t="s">
        <v>975</v>
      </c>
      <c r="B68" t="s">
        <v>1659</v>
      </c>
      <c r="C68" t="str">
        <f>VLOOKUP(B68,[1]rt_remap_detail!$E$3:$F$4082,2,0)</f>
        <v>7440-32-6</v>
      </c>
      <c r="D68" t="s">
        <v>1696</v>
      </c>
      <c r="E68" t="s">
        <v>1697</v>
      </c>
    </row>
    <row r="69" spans="1:5" customFormat="1" ht="12.75" hidden="1" x14ac:dyDescent="0.2">
      <c r="A69" s="9" t="s">
        <v>460</v>
      </c>
      <c r="B69" t="s">
        <v>1487</v>
      </c>
      <c r="C69" t="str">
        <f>VLOOKUP(B69,[1]rt_remap_detail!$E$3:$F$4082,2,0)</f>
        <v>7440-31-5</v>
      </c>
      <c r="D69" t="s">
        <v>1696</v>
      </c>
      <c r="E69" t="s">
        <v>1697</v>
      </c>
    </row>
    <row r="70" spans="1:5" customFormat="1" ht="12.75" hidden="1" x14ac:dyDescent="0.2">
      <c r="A70" s="10" t="s">
        <v>999</v>
      </c>
      <c r="B70" t="s">
        <v>1663</v>
      </c>
      <c r="C70" t="str">
        <f>VLOOKUP(B70,[1]rt_remap_detail!$E$3:$F$4082,2,0)</f>
        <v>110-02-1</v>
      </c>
      <c r="D70" t="s">
        <v>1696</v>
      </c>
      <c r="E70" t="s">
        <v>1697</v>
      </c>
    </row>
    <row r="71" spans="1:5" customFormat="1" ht="12.75" hidden="1" x14ac:dyDescent="0.2">
      <c r="A71" s="9" t="s">
        <v>444</v>
      </c>
      <c r="B71" t="s">
        <v>1478</v>
      </c>
      <c r="C71" t="str">
        <f>VLOOKUP(B71,[1]rt_remap_detail!$E$3:$F$4082,2,0)</f>
        <v>297-97-2</v>
      </c>
      <c r="D71" t="s">
        <v>1696</v>
      </c>
      <c r="E71" t="s">
        <v>1697</v>
      </c>
    </row>
    <row r="72" spans="1:5" customFormat="1" ht="12.75" hidden="1" x14ac:dyDescent="0.2">
      <c r="A72" s="9" t="s">
        <v>1072</v>
      </c>
      <c r="B72" t="s">
        <v>1685</v>
      </c>
      <c r="C72" t="str">
        <f>VLOOKUP(B72,[1]rt_remap_detail!$E$3:$F$4082,2,0)</f>
        <v>28249-77-6</v>
      </c>
      <c r="D72" t="s">
        <v>1696</v>
      </c>
      <c r="E72" t="s">
        <v>1697</v>
      </c>
    </row>
    <row r="73" spans="1:5" customFormat="1" ht="12.75" x14ac:dyDescent="0.2">
      <c r="A73" s="9" t="s">
        <v>260</v>
      </c>
      <c r="B73" t="s">
        <v>1330</v>
      </c>
      <c r="C73" t="str">
        <f>VLOOKUP(B73,[1]rt_remap_detail!$E$3:$F$4082,2,0)</f>
        <v>7440-28-0</v>
      </c>
      <c r="D73" t="s">
        <v>1696</v>
      </c>
      <c r="E73" t="s">
        <v>1696</v>
      </c>
    </row>
    <row r="74" spans="1:5" customFormat="1" ht="12.75" hidden="1" x14ac:dyDescent="0.2">
      <c r="A74" s="9" t="s">
        <v>1038</v>
      </c>
      <c r="B74" t="s">
        <v>1384</v>
      </c>
      <c r="C74" t="str">
        <f>VLOOKUP(B74,[1]rt_remap_detail!$E$3:$F$4082,2,0)</f>
        <v>109-99-9</v>
      </c>
      <c r="D74" t="s">
        <v>1696</v>
      </c>
      <c r="E74" t="s">
        <v>1697</v>
      </c>
    </row>
    <row r="75" spans="1:5" customFormat="1" ht="12.75" hidden="1" x14ac:dyDescent="0.2">
      <c r="A75" s="9" t="s">
        <v>262</v>
      </c>
      <c r="B75" t="s">
        <v>1384</v>
      </c>
      <c r="C75" t="str">
        <f>VLOOKUP(B75,[1]rt_remap_detail!$E$3:$F$4082,2,0)</f>
        <v>109-99-9</v>
      </c>
      <c r="D75" t="s">
        <v>1696</v>
      </c>
      <c r="E75" t="s">
        <v>1697</v>
      </c>
    </row>
    <row r="76" spans="1:5" customFormat="1" ht="12.75" hidden="1" x14ac:dyDescent="0.2">
      <c r="A76" s="10" t="s">
        <v>718</v>
      </c>
      <c r="B76" t="s">
        <v>1587</v>
      </c>
      <c r="C76" t="str">
        <f>VLOOKUP(B76,[1]rt_remap_detail!$E$3:$F$4082,2,0)</f>
        <v>78-00-2</v>
      </c>
      <c r="D76" t="s">
        <v>1696</v>
      </c>
      <c r="E76" t="s">
        <v>1697</v>
      </c>
    </row>
    <row r="77" spans="1:5" customFormat="1" ht="12.75" hidden="1" x14ac:dyDescent="0.2">
      <c r="A77" s="9" t="s">
        <v>909</v>
      </c>
      <c r="B77" t="s">
        <v>1368</v>
      </c>
      <c r="C77" t="e">
        <f>VLOOKUP(B77,[1]rt_remap_detail!$E$3:$F$4082,2,0)</f>
        <v>#N/A</v>
      </c>
      <c r="D77" t="s">
        <v>1696</v>
      </c>
      <c r="E77" t="s">
        <v>1697</v>
      </c>
    </row>
    <row r="78" spans="1:5" customFormat="1" ht="12.75" x14ac:dyDescent="0.2">
      <c r="A78" s="10" t="s">
        <v>453</v>
      </c>
      <c r="B78" t="s">
        <v>1324</v>
      </c>
      <c r="C78" t="str">
        <f>VLOOKUP(B78,[1]rt_remap_detail!$E$3:$F$4082,2,0)</f>
        <v>22248-79-9</v>
      </c>
      <c r="D78" t="s">
        <v>1696</v>
      </c>
      <c r="E78" t="s">
        <v>1696</v>
      </c>
    </row>
    <row r="79" spans="1:5" customFormat="1" ht="12.75" x14ac:dyDescent="0.2">
      <c r="A79" s="10" t="s">
        <v>174</v>
      </c>
      <c r="B79" t="s">
        <v>1166</v>
      </c>
      <c r="C79" t="str">
        <f>VLOOKUP(B79,[1]rt_remap_detail!$E$3:$F$4082,2,0)</f>
        <v>127-18-4</v>
      </c>
      <c r="D79" t="s">
        <v>1696</v>
      </c>
      <c r="E79" t="s">
        <v>1696</v>
      </c>
    </row>
    <row r="80" spans="1:5" customFormat="1" ht="12.75" x14ac:dyDescent="0.2">
      <c r="A80" s="10" t="s">
        <v>211</v>
      </c>
      <c r="B80" t="s">
        <v>1122</v>
      </c>
      <c r="C80" t="str">
        <f>VLOOKUP(B80,[1]rt_remap_detail!$E$3:$F$4082,2,0)</f>
        <v>98-06-6</v>
      </c>
      <c r="D80" t="s">
        <v>1696</v>
      </c>
      <c r="E80" t="s">
        <v>1696</v>
      </c>
    </row>
    <row r="81" spans="1:5" customFormat="1" ht="12.75" x14ac:dyDescent="0.2">
      <c r="A81" s="9" t="s">
        <v>198</v>
      </c>
      <c r="B81" t="s">
        <v>1169</v>
      </c>
      <c r="C81" t="str">
        <f>VLOOKUP(B81,[1]rt_remap_detail!$E$3:$F$4082,2,0)</f>
        <v>75-65-0</v>
      </c>
      <c r="D81" t="s">
        <v>1696</v>
      </c>
      <c r="E81" t="s">
        <v>1696</v>
      </c>
    </row>
    <row r="82" spans="1:5" customFormat="1" ht="12.75" x14ac:dyDescent="0.2">
      <c r="A82" s="9" t="s">
        <v>167</v>
      </c>
      <c r="B82" t="s">
        <v>1168</v>
      </c>
      <c r="C82" t="str">
        <f>VLOOKUP(B82,[1]rt_remap_detail!$E$3:$F$4082,2,0)</f>
        <v>994-05-8</v>
      </c>
      <c r="D82" t="s">
        <v>1696</v>
      </c>
      <c r="E82" t="s">
        <v>1696</v>
      </c>
    </row>
    <row r="83" spans="1:5" customFormat="1" ht="12.75" x14ac:dyDescent="0.2">
      <c r="A83" s="10" t="s">
        <v>1313</v>
      </c>
      <c r="B83" t="s">
        <v>1314</v>
      </c>
      <c r="C83" t="str">
        <f>VLOOKUP(B83,[1]rt_remap_detail!$E$3:$F$4082,2,0)</f>
        <v>1718-51-0</v>
      </c>
      <c r="E83" t="s">
        <v>1696</v>
      </c>
    </row>
    <row r="84" spans="1:5" customFormat="1" ht="12.75" hidden="1" x14ac:dyDescent="0.2">
      <c r="A84" s="10" t="s">
        <v>965</v>
      </c>
      <c r="B84" t="s">
        <v>1655</v>
      </c>
      <c r="C84" t="str">
        <f>VLOOKUP(B84,[1]rt_remap_detail!$E$3:$F$4082,2,0)</f>
        <v>5902-51-2</v>
      </c>
      <c r="D84" t="s">
        <v>1696</v>
      </c>
      <c r="E84" t="s">
        <v>1697</v>
      </c>
    </row>
    <row r="85" spans="1:5" customFormat="1" ht="12.75" hidden="1" x14ac:dyDescent="0.2">
      <c r="A85" s="9" t="s">
        <v>375</v>
      </c>
      <c r="B85" t="s">
        <v>1343</v>
      </c>
      <c r="C85" t="e">
        <f>VLOOKUP(B85,[1]rt_remap_detail!$E$3:$F$4082,2,0)</f>
        <v>#N/A</v>
      </c>
      <c r="D85" t="s">
        <v>1696</v>
      </c>
      <c r="E85" t="s">
        <v>1697</v>
      </c>
    </row>
    <row r="86" spans="1:5" customFormat="1" ht="12.75" hidden="1" x14ac:dyDescent="0.2">
      <c r="A86" s="9" t="s">
        <v>624</v>
      </c>
      <c r="B86" t="s">
        <v>1353</v>
      </c>
      <c r="C86" t="str">
        <f>VLOOKUP(B86,[1]rt_remap_detail!$E$3:$F$4082,2,0)</f>
        <v>TEMP</v>
      </c>
      <c r="D86" t="s">
        <v>1696</v>
      </c>
      <c r="E86" t="s">
        <v>1697</v>
      </c>
    </row>
    <row r="87" spans="1:5" customFormat="1" ht="12.75" hidden="1" x14ac:dyDescent="0.2">
      <c r="A87" s="9" t="s">
        <v>968</v>
      </c>
      <c r="B87" t="s">
        <v>1376</v>
      </c>
      <c r="C87" t="e">
        <f>VLOOKUP(B87,[1]rt_remap_detail!$E$3:$F$4082,2,0)</f>
        <v>#N/A</v>
      </c>
      <c r="D87" t="s">
        <v>1696</v>
      </c>
      <c r="E87" t="s">
        <v>1697</v>
      </c>
    </row>
    <row r="88" spans="1:5" customFormat="1" ht="12.75" hidden="1" x14ac:dyDescent="0.2">
      <c r="A88" s="9" t="s">
        <v>912</v>
      </c>
      <c r="B88" t="s">
        <v>1641</v>
      </c>
      <c r="C88" t="str">
        <f>VLOOKUP(B88,[1]rt_remap_detail!$E$3:$F$4082,2,0)</f>
        <v>7446-09-5</v>
      </c>
      <c r="D88" t="s">
        <v>1696</v>
      </c>
      <c r="E88" t="s">
        <v>1697</v>
      </c>
    </row>
    <row r="89" spans="1:5" customFormat="1" ht="12.75" hidden="1" x14ac:dyDescent="0.2">
      <c r="A89" s="10" t="s">
        <v>592</v>
      </c>
      <c r="B89" t="s">
        <v>1540</v>
      </c>
      <c r="C89" t="str">
        <f>VLOOKUP(B89,[1]rt_remap_detail!$E$3:$F$4082,2,0)</f>
        <v>3689-24-5</v>
      </c>
      <c r="D89" t="s">
        <v>1696</v>
      </c>
      <c r="E89" t="s">
        <v>1697</v>
      </c>
    </row>
    <row r="90" spans="1:5" customFormat="1" ht="12.75" hidden="1" x14ac:dyDescent="0.2">
      <c r="A90" s="9" t="s">
        <v>1047</v>
      </c>
      <c r="B90" t="s">
        <v>1679</v>
      </c>
      <c r="C90" t="str">
        <f>VLOOKUP(B90,[1]rt_remap_detail!$E$3:$F$4082,2,0)</f>
        <v>14265-45-3</v>
      </c>
      <c r="D90" t="s">
        <v>1696</v>
      </c>
      <c r="E90" t="s">
        <v>1697</v>
      </c>
    </row>
    <row r="91" spans="1:5" customFormat="1" ht="12.75" hidden="1" x14ac:dyDescent="0.2">
      <c r="A91" s="9" t="s">
        <v>295</v>
      </c>
      <c r="B91" t="s">
        <v>1443</v>
      </c>
      <c r="C91" t="str">
        <f>VLOOKUP(B91,[1]rt_remap_detail!$E$3:$F$4082,2,0)</f>
        <v>18496-25-8</v>
      </c>
      <c r="D91" t="s">
        <v>1696</v>
      </c>
      <c r="E91" t="s">
        <v>1697</v>
      </c>
    </row>
    <row r="92" spans="1:5" customFormat="1" ht="12.75" x14ac:dyDescent="0.2">
      <c r="A92" s="9" t="s">
        <v>256</v>
      </c>
      <c r="B92" t="s">
        <v>1190</v>
      </c>
      <c r="C92" t="str">
        <f>VLOOKUP(B92,[1]rt_remap_detail!$E$3:$F$4082,2,0)</f>
        <v>14808-79-8</v>
      </c>
      <c r="D92" t="s">
        <v>1696</v>
      </c>
      <c r="E92" t="s">
        <v>1696</v>
      </c>
    </row>
    <row r="93" spans="1:5" customFormat="1" ht="12.75" x14ac:dyDescent="0.2">
      <c r="A93" s="10" t="s">
        <v>205</v>
      </c>
      <c r="B93" t="s">
        <v>1167</v>
      </c>
      <c r="C93" t="str">
        <f>VLOOKUP(B93,[1]rt_remap_detail!$E$3:$F$4082,2,0)</f>
        <v>100-42-5</v>
      </c>
      <c r="D93" t="s">
        <v>1696</v>
      </c>
      <c r="E93" t="s">
        <v>1696</v>
      </c>
    </row>
    <row r="94" spans="1:5" customFormat="1" ht="12.75" hidden="1" x14ac:dyDescent="0.2">
      <c r="A94" s="10" t="s">
        <v>1018</v>
      </c>
      <c r="B94" t="s">
        <v>1671</v>
      </c>
      <c r="C94" t="str">
        <f>VLOOKUP(B94,[1]rt_remap_detail!$E$3:$F$4082,2,0)</f>
        <v>7440-24-6</v>
      </c>
      <c r="D94" t="s">
        <v>1696</v>
      </c>
      <c r="E94" t="s">
        <v>1697</v>
      </c>
    </row>
    <row r="95" spans="1:5" customFormat="1" ht="12.75" hidden="1" x14ac:dyDescent="0.2">
      <c r="A95" s="10" t="s">
        <v>1035</v>
      </c>
      <c r="B95" t="s">
        <v>1383</v>
      </c>
      <c r="C95" t="e">
        <f>VLOOKUP(B95,[1]rt_remap_detail!$E$3:$F$4082,2,0)</f>
        <v>#N/A</v>
      </c>
      <c r="D95" t="s">
        <v>1696</v>
      </c>
      <c r="E95" t="s">
        <v>1697</v>
      </c>
    </row>
    <row r="96" spans="1:5" customFormat="1" ht="12.75" hidden="1" x14ac:dyDescent="0.2">
      <c r="A96" s="9" t="s">
        <v>440</v>
      </c>
      <c r="B96" t="s">
        <v>1346</v>
      </c>
      <c r="C96" t="str">
        <f>VLOOKUP(B96,[1]rt_remap_detail!$E$3:$F$4082,2,0)</f>
        <v>SC</v>
      </c>
      <c r="D96" t="s">
        <v>1696</v>
      </c>
      <c r="E96" t="s">
        <v>1697</v>
      </c>
    </row>
    <row r="97" spans="1:5" customFormat="1" ht="12.75" hidden="1" x14ac:dyDescent="0.2">
      <c r="A97" s="10" t="s">
        <v>801</v>
      </c>
      <c r="B97" t="s">
        <v>1392</v>
      </c>
      <c r="C97" t="str">
        <f>VLOOKUP(B97,[1]rt_remap_detail!$E$3:$F$4082,2,0)</f>
        <v>PERCENT SOLIDS</v>
      </c>
      <c r="D97" t="s">
        <v>1696</v>
      </c>
      <c r="E97" t="s">
        <v>1697</v>
      </c>
    </row>
    <row r="98" spans="1:5" customFormat="1" ht="12.75" hidden="1" x14ac:dyDescent="0.2">
      <c r="A98" s="9" t="s">
        <v>881</v>
      </c>
      <c r="B98" t="s">
        <v>1365</v>
      </c>
      <c r="C98" t="e">
        <f>VLOOKUP(B98,[1]rt_remap_detail!$E$3:$F$4082,2,0)</f>
        <v>#N/A</v>
      </c>
      <c r="D98" t="s">
        <v>1696</v>
      </c>
      <c r="E98" t="s">
        <v>1697</v>
      </c>
    </row>
    <row r="99" spans="1:5" customFormat="1" ht="12.75" hidden="1" x14ac:dyDescent="0.2">
      <c r="A99" s="10" t="s">
        <v>361</v>
      </c>
      <c r="B99" t="s">
        <v>1451</v>
      </c>
      <c r="C99" t="str">
        <f>VLOOKUP(B99,[1]rt_remap_detail!$E$3:$F$4082,2,0)</f>
        <v>7440-23-5</v>
      </c>
      <c r="D99" t="s">
        <v>1696</v>
      </c>
      <c r="E99" t="s">
        <v>1697</v>
      </c>
    </row>
    <row r="100" spans="1:5" customFormat="1" ht="12.75" hidden="1" x14ac:dyDescent="0.2">
      <c r="A100" s="10" t="s">
        <v>923</v>
      </c>
      <c r="B100" t="s">
        <v>1646</v>
      </c>
      <c r="C100" t="str">
        <f>VLOOKUP(B100,[1]rt_remap_detail!$E$3:$F$4082,2,0)</f>
        <v>122-34-9</v>
      </c>
      <c r="D100" t="s">
        <v>1696</v>
      </c>
      <c r="E100" t="s">
        <v>1697</v>
      </c>
    </row>
    <row r="101" spans="1:5" customFormat="1" ht="12.75" x14ac:dyDescent="0.2">
      <c r="A101" s="10" t="s">
        <v>263</v>
      </c>
      <c r="B101" t="s">
        <v>1199</v>
      </c>
      <c r="C101" t="str">
        <f>VLOOKUP(B101,[1]rt_remap_detail!$E$3:$F$4082,2,0)</f>
        <v>7440-22-4</v>
      </c>
      <c r="D101" t="s">
        <v>1696</v>
      </c>
      <c r="E101" t="s">
        <v>1696</v>
      </c>
    </row>
    <row r="102" spans="1:5" customFormat="1" ht="12.75" hidden="1" x14ac:dyDescent="0.2">
      <c r="A102" s="9" t="s">
        <v>602</v>
      </c>
      <c r="B102" t="s">
        <v>1543</v>
      </c>
      <c r="C102" t="str">
        <f>VLOOKUP(B102,[1]rt_remap_detail!$E$3:$F$4082,2,0)</f>
        <v>7440-21-3</v>
      </c>
      <c r="D102" t="s">
        <v>1696</v>
      </c>
      <c r="E102" t="s">
        <v>1697</v>
      </c>
    </row>
    <row r="103" spans="1:5" customFormat="1" ht="12.75" hidden="1" x14ac:dyDescent="0.2">
      <c r="A103" s="10" t="s">
        <v>918</v>
      </c>
      <c r="B103" t="s">
        <v>1644</v>
      </c>
      <c r="C103" t="str">
        <f>VLOOKUP(B103,[1]rt_remap_detail!$E$3:$F$4082,2,0)</f>
        <v>7631-86-9</v>
      </c>
      <c r="D103" t="s">
        <v>1696</v>
      </c>
      <c r="E103" t="s">
        <v>1697</v>
      </c>
    </row>
    <row r="104" spans="1:5" customFormat="1" ht="12.75" hidden="1" x14ac:dyDescent="0.2">
      <c r="A104" s="10" t="s">
        <v>876</v>
      </c>
      <c r="B104" t="s">
        <v>1410</v>
      </c>
      <c r="C104" t="str">
        <f>VLOOKUP(B104,[1]rt_remap_detail!$E$3:$F$4082,2,0)</f>
        <v>SS</v>
      </c>
      <c r="D104" t="s">
        <v>1696</v>
      </c>
      <c r="E104" t="s">
        <v>1697</v>
      </c>
    </row>
    <row r="105" spans="1:5" customFormat="1" ht="12.75" x14ac:dyDescent="0.2">
      <c r="A105" s="9" t="s">
        <v>359</v>
      </c>
      <c r="B105" t="s">
        <v>1323</v>
      </c>
      <c r="C105" t="str">
        <f>VLOOKUP(B105,[1]rt_remap_detail!$E$3:$F$4082,2,0)</f>
        <v>7782-49-2</v>
      </c>
      <c r="D105" t="s">
        <v>1696</v>
      </c>
      <c r="E105" t="s">
        <v>1696</v>
      </c>
    </row>
    <row r="106" spans="1:5" customFormat="1" ht="12.75" x14ac:dyDescent="0.2">
      <c r="A106" s="10" t="s">
        <v>212</v>
      </c>
      <c r="B106" t="s">
        <v>1121</v>
      </c>
      <c r="C106" t="str">
        <f>VLOOKUP(B106,[1]rt_remap_detail!$E$3:$F$4082,2,0)</f>
        <v>135-98-8</v>
      </c>
      <c r="D106" t="s">
        <v>1696</v>
      </c>
      <c r="E106" t="s">
        <v>1696</v>
      </c>
    </row>
    <row r="107" spans="1:5" customFormat="1" ht="12.75" hidden="1" x14ac:dyDescent="0.2">
      <c r="A107" s="10" t="s">
        <v>1076</v>
      </c>
      <c r="B107" t="s">
        <v>1389</v>
      </c>
      <c r="C107" t="e">
        <f>VLOOKUP(B107,[1]rt_remap_detail!$E$3:$F$4082,2,0)</f>
        <v>#N/A</v>
      </c>
      <c r="D107" t="s">
        <v>1696</v>
      </c>
      <c r="E107" t="s">
        <v>1697</v>
      </c>
    </row>
    <row r="108" spans="1:5" customFormat="1" ht="12.75" hidden="1" x14ac:dyDescent="0.2">
      <c r="A108" s="9" t="s">
        <v>960</v>
      </c>
      <c r="B108" t="s">
        <v>1374</v>
      </c>
      <c r="C108" t="str">
        <f>VLOOKUP(B108,[1]rt_remap_detail!$E$3:$F$4082,2,0)</f>
        <v>SAL</v>
      </c>
      <c r="D108" t="s">
        <v>1696</v>
      </c>
      <c r="E108" t="s">
        <v>1697</v>
      </c>
    </row>
    <row r="109" spans="1:5" customFormat="1" ht="12.75" hidden="1" x14ac:dyDescent="0.2">
      <c r="A109" s="9" t="s">
        <v>578</v>
      </c>
      <c r="B109" t="s">
        <v>1534</v>
      </c>
      <c r="C109" t="str">
        <f>VLOOKUP(B109,[1]rt_remap_detail!$E$3:$F$4082,2,0)</f>
        <v>94-59-7</v>
      </c>
      <c r="D109" t="s">
        <v>1696</v>
      </c>
      <c r="E109" t="s">
        <v>1697</v>
      </c>
    </row>
    <row r="110" spans="1:5" customFormat="1" ht="12.75" x14ac:dyDescent="0.2">
      <c r="A110" s="9" t="s">
        <v>452</v>
      </c>
      <c r="B110" t="s">
        <v>1321</v>
      </c>
      <c r="C110" t="str">
        <f>VLOOKUP(B110,[1]rt_remap_detail!$E$3:$F$4082,2,0)</f>
        <v>299-84-3</v>
      </c>
      <c r="D110" t="s">
        <v>1696</v>
      </c>
      <c r="E110" t="s">
        <v>1696</v>
      </c>
    </row>
    <row r="111" spans="1:5" customFormat="1" ht="12.75" hidden="1" x14ac:dyDescent="0.2">
      <c r="A111" s="10" t="s">
        <v>387</v>
      </c>
      <c r="B111" t="s">
        <v>1464</v>
      </c>
      <c r="C111" t="str">
        <f>VLOOKUP(B111,[1]rt_remap_detail!$E$3:$F$4082,2,0)</f>
        <v>127-17-3</v>
      </c>
      <c r="D111" t="s">
        <v>1696</v>
      </c>
      <c r="E111" t="s">
        <v>1697</v>
      </c>
    </row>
    <row r="112" spans="1:5" customFormat="1" ht="12.75" x14ac:dyDescent="0.2">
      <c r="A112" s="9" t="s">
        <v>425</v>
      </c>
      <c r="B112" t="s">
        <v>1320</v>
      </c>
      <c r="C112" t="str">
        <f>VLOOKUP(B112,[1]rt_remap_detail!$E$3:$F$4082,2,0)</f>
        <v>110-86-1</v>
      </c>
      <c r="D112" t="s">
        <v>1696</v>
      </c>
      <c r="E112" t="s">
        <v>1696</v>
      </c>
    </row>
    <row r="113" spans="1:5" customFormat="1" ht="12.75" x14ac:dyDescent="0.2">
      <c r="A113" s="10" t="s">
        <v>337</v>
      </c>
      <c r="B113" t="s">
        <v>1319</v>
      </c>
      <c r="C113" t="str">
        <f>VLOOKUP(B113,[1]rt_remap_detail!$E$3:$F$4082,2,0)</f>
        <v>129-00-0</v>
      </c>
      <c r="D113" t="s">
        <v>1696</v>
      </c>
      <c r="E113" t="s">
        <v>1696</v>
      </c>
    </row>
    <row r="114" spans="1:5" customFormat="1" ht="12.75" hidden="1" x14ac:dyDescent="0.2">
      <c r="A114" s="10" t="s">
        <v>791</v>
      </c>
      <c r="B114" t="s">
        <v>1612</v>
      </c>
      <c r="C114" t="str">
        <f>VLOOKUP(B114,[1]rt_remap_detail!$E$3:$F$4082,2,0)</f>
        <v>106-42-3</v>
      </c>
      <c r="D114" t="s">
        <v>1696</v>
      </c>
      <c r="E114" t="s">
        <v>1697</v>
      </c>
    </row>
    <row r="115" spans="1:5" customFormat="1" ht="12.75" hidden="1" x14ac:dyDescent="0.2">
      <c r="A115" s="9" t="s">
        <v>250</v>
      </c>
      <c r="B115" t="s">
        <v>1420</v>
      </c>
      <c r="C115" t="str">
        <f>VLOOKUP(B115,[1]rt_remap_detail!$E$3:$F$4082,2,0)</f>
        <v>115-07-1</v>
      </c>
      <c r="D115" t="s">
        <v>1696</v>
      </c>
      <c r="E115" t="s">
        <v>1697</v>
      </c>
    </row>
    <row r="116" spans="1:5" customFormat="1" ht="12.75" hidden="1" x14ac:dyDescent="0.2">
      <c r="A116" s="10" t="s">
        <v>1040</v>
      </c>
      <c r="B116" t="s">
        <v>1385</v>
      </c>
      <c r="C116" t="e">
        <f>VLOOKUP(B116,[1]rt_remap_detail!$E$3:$F$4082,2,0)</f>
        <v>#N/A</v>
      </c>
      <c r="D116" t="s">
        <v>1696</v>
      </c>
      <c r="E116" t="s">
        <v>1697</v>
      </c>
    </row>
    <row r="117" spans="1:5" customFormat="1" ht="12.75" hidden="1" x14ac:dyDescent="0.2">
      <c r="A117" s="10" t="s">
        <v>476</v>
      </c>
      <c r="B117" t="s">
        <v>1497</v>
      </c>
      <c r="C117" t="str">
        <f>VLOOKUP(B117,[1]rt_remap_detail!$E$3:$F$4082,2,0)</f>
        <v>107-12-0</v>
      </c>
      <c r="D117" t="s">
        <v>1696</v>
      </c>
      <c r="E117" t="s">
        <v>1697</v>
      </c>
    </row>
    <row r="118" spans="1:5" customFormat="1" ht="12.75" hidden="1" x14ac:dyDescent="0.2">
      <c r="A118" s="9" t="s">
        <v>169</v>
      </c>
      <c r="B118" t="s">
        <v>1413</v>
      </c>
      <c r="C118" t="str">
        <f>VLOOKUP(B118,[1]rt_remap_detail!$E$3:$F$4082,2,0)</f>
        <v>74-98-6</v>
      </c>
      <c r="D118" t="s">
        <v>1696</v>
      </c>
      <c r="E118" t="s">
        <v>1697</v>
      </c>
    </row>
    <row r="119" spans="1:5" customFormat="1" ht="12.75" hidden="1" x14ac:dyDescent="0.2">
      <c r="A119" s="9" t="s">
        <v>678</v>
      </c>
      <c r="B119" t="s">
        <v>1574</v>
      </c>
      <c r="C119" t="str">
        <f>VLOOKUP(B119,[1]rt_remap_detail!$E$3:$F$4082,2,0)</f>
        <v>123-38-6</v>
      </c>
      <c r="D119" t="s">
        <v>1696</v>
      </c>
      <c r="E119" t="s">
        <v>1697</v>
      </c>
    </row>
    <row r="120" spans="1:5" customFormat="1" ht="12.75" hidden="1" x14ac:dyDescent="0.2">
      <c r="A120" s="9" t="s">
        <v>519</v>
      </c>
      <c r="B120" t="s">
        <v>1512</v>
      </c>
      <c r="C120" t="str">
        <f>VLOOKUP(B120,[1]rt_remap_detail!$E$3:$F$4082,2,0)</f>
        <v>23950-58-5</v>
      </c>
      <c r="D120" t="s">
        <v>1696</v>
      </c>
      <c r="E120" t="s">
        <v>1697</v>
      </c>
    </row>
    <row r="121" spans="1:5" customFormat="1" ht="12.75" hidden="1" x14ac:dyDescent="0.2">
      <c r="A121" s="9" t="s">
        <v>348</v>
      </c>
      <c r="B121" t="s">
        <v>1448</v>
      </c>
      <c r="C121" t="str">
        <f>VLOOKUP(B121,[1]rt_remap_detail!$E$3:$F$4082,2,0)</f>
        <v>7440-09-7</v>
      </c>
      <c r="D121" t="s">
        <v>1696</v>
      </c>
      <c r="E121" t="s">
        <v>1697</v>
      </c>
    </row>
    <row r="122" spans="1:5" customFormat="1" ht="12.75" hidden="1" x14ac:dyDescent="0.2">
      <c r="A122" s="9" t="s">
        <v>463</v>
      </c>
      <c r="B122" t="s">
        <v>1489</v>
      </c>
      <c r="C122" t="str">
        <f>VLOOKUP(B122,[1]rt_remap_detail!$E$3:$F$4082,2,0)</f>
        <v>1918-02-1</v>
      </c>
      <c r="D122" t="s">
        <v>1696</v>
      </c>
      <c r="E122" t="s">
        <v>1697</v>
      </c>
    </row>
    <row r="123" spans="1:5" customFormat="1" ht="12.75" hidden="1" x14ac:dyDescent="0.2">
      <c r="A123" s="10" t="s">
        <v>352</v>
      </c>
      <c r="B123" t="s">
        <v>1449</v>
      </c>
      <c r="C123" t="str">
        <f>VLOOKUP(B123,[1]rt_remap_detail!$E$3:$F$4082,2,0)</f>
        <v>7723-14-0</v>
      </c>
      <c r="D123" t="s">
        <v>1696</v>
      </c>
      <c r="E123" t="s">
        <v>1697</v>
      </c>
    </row>
    <row r="124" spans="1:5" customFormat="1" ht="12.75" x14ac:dyDescent="0.2">
      <c r="A124" s="9" t="s">
        <v>472</v>
      </c>
      <c r="B124" t="s">
        <v>1318</v>
      </c>
      <c r="C124" t="str">
        <f>VLOOKUP(B124,[1]rt_remap_detail!$E$3:$F$4082,2,0)</f>
        <v>298-02-2</v>
      </c>
      <c r="D124" t="s">
        <v>1696</v>
      </c>
      <c r="E124" t="s">
        <v>1696</v>
      </c>
    </row>
    <row r="125" spans="1:5" customFormat="1" ht="12.75" x14ac:dyDescent="0.2">
      <c r="A125" s="10" t="s">
        <v>1316</v>
      </c>
      <c r="B125" t="s">
        <v>1317</v>
      </c>
      <c r="C125" t="str">
        <f>VLOOKUP(B125,[1]rt_remap_detail!$E$3:$F$4082,2,0)</f>
        <v>13127-88-3</v>
      </c>
      <c r="E125" t="s">
        <v>1696</v>
      </c>
    </row>
    <row r="126" spans="1:5" customFormat="1" ht="12.75" x14ac:dyDescent="0.2">
      <c r="A126" s="10" t="s">
        <v>345</v>
      </c>
      <c r="B126" t="s">
        <v>1315</v>
      </c>
      <c r="C126" t="str">
        <f>VLOOKUP(B126,[1]rt_remap_detail!$E$3:$F$4082,2,0)</f>
        <v>108-95-2</v>
      </c>
      <c r="D126" t="s">
        <v>1696</v>
      </c>
      <c r="E126" t="s">
        <v>1696</v>
      </c>
    </row>
    <row r="127" spans="1:5" customFormat="1" ht="12.75" x14ac:dyDescent="0.2">
      <c r="A127" s="10" t="s">
        <v>301</v>
      </c>
      <c r="B127" t="s">
        <v>1309</v>
      </c>
      <c r="C127" t="str">
        <f>VLOOKUP(B127,[1]rt_remap_detail!$E$3:$F$4082,2,0)</f>
        <v>85-01-8</v>
      </c>
      <c r="D127" t="s">
        <v>1696</v>
      </c>
      <c r="E127" t="s">
        <v>1696</v>
      </c>
    </row>
    <row r="128" spans="1:5" customFormat="1" ht="12.75" hidden="1" x14ac:dyDescent="0.2">
      <c r="A128" s="9" t="s">
        <v>420</v>
      </c>
      <c r="B128" t="s">
        <v>1345</v>
      </c>
      <c r="C128" t="str">
        <f>VLOOKUP(B128,[1]rt_remap_detail!$E$3:$F$4082,2,0)</f>
        <v>pH</v>
      </c>
      <c r="D128" t="s">
        <v>1696</v>
      </c>
      <c r="E128" t="s">
        <v>1697</v>
      </c>
    </row>
    <row r="129" spans="1:5" customFormat="1" ht="12.75" hidden="1" x14ac:dyDescent="0.2">
      <c r="A129" s="10" t="s">
        <v>705</v>
      </c>
      <c r="B129" t="s">
        <v>1582</v>
      </c>
      <c r="C129" t="str">
        <f>VLOOKUP(B129,[1]rt_remap_detail!$E$3:$F$4082,2,0)</f>
        <v>TRPH</v>
      </c>
      <c r="D129" t="s">
        <v>1696</v>
      </c>
      <c r="E129" t="s">
        <v>1697</v>
      </c>
    </row>
    <row r="130" spans="1:5" customFormat="1" ht="12.75" hidden="1" x14ac:dyDescent="0.2">
      <c r="A130" s="10" t="s">
        <v>418</v>
      </c>
      <c r="B130" t="s">
        <v>1469</v>
      </c>
      <c r="C130" t="str">
        <f>VLOOKUP(B130,[1]rt_remap_detail!$E$3:$F$4082,2,0)</f>
        <v>14797-73-0</v>
      </c>
      <c r="D130" t="s">
        <v>1696</v>
      </c>
      <c r="E130" t="s">
        <v>1697</v>
      </c>
    </row>
    <row r="131" spans="1:5" customFormat="1" ht="12.75" hidden="1" x14ac:dyDescent="0.2">
      <c r="A131" s="10" t="s">
        <v>371</v>
      </c>
      <c r="B131" t="s">
        <v>1391</v>
      </c>
      <c r="C131" t="str">
        <f>VLOOKUP(B131,[1]rt_remap_detail!$E$3:$F$4082,2,0)</f>
        <v>MC</v>
      </c>
      <c r="D131" t="s">
        <v>1696</v>
      </c>
      <c r="E131" t="s">
        <v>1697</v>
      </c>
    </row>
    <row r="132" spans="1:5" customFormat="1" ht="12.75" hidden="1" x14ac:dyDescent="0.2">
      <c r="A132" s="10" t="s">
        <v>388</v>
      </c>
      <c r="B132" t="s">
        <v>1409</v>
      </c>
      <c r="C132" t="str">
        <f>VLOOKUP(B132,[1]rt_remap_detail!$E$3:$F$4082,2,0)</f>
        <v>109-52-4</v>
      </c>
      <c r="D132" t="s">
        <v>1696</v>
      </c>
      <c r="E132" t="s">
        <v>1697</v>
      </c>
    </row>
    <row r="133" spans="1:5" customFormat="1" ht="12.75" hidden="1" x14ac:dyDescent="0.2">
      <c r="A133" s="9" t="s">
        <v>689</v>
      </c>
      <c r="B133" t="s">
        <v>1577</v>
      </c>
      <c r="C133" t="str">
        <f>VLOOKUP(B133,[1]rt_remap_detail!$E$3:$F$4082,2,0)</f>
        <v>109-66-0</v>
      </c>
      <c r="D133" t="s">
        <v>1696</v>
      </c>
      <c r="E133" t="s">
        <v>1697</v>
      </c>
    </row>
    <row r="134" spans="1:5" customFormat="1" ht="12.75" x14ac:dyDescent="0.2">
      <c r="A134" s="9" t="s">
        <v>313</v>
      </c>
      <c r="B134" t="s">
        <v>1304</v>
      </c>
      <c r="C134" t="str">
        <f>VLOOKUP(B134,[1]rt_remap_detail!$E$3:$F$4082,2,0)</f>
        <v>87-86-5</v>
      </c>
      <c r="D134" t="s">
        <v>1696</v>
      </c>
      <c r="E134" t="s">
        <v>1696</v>
      </c>
    </row>
    <row r="135" spans="1:5" customFormat="1" ht="12.75" hidden="1" x14ac:dyDescent="0.2">
      <c r="A135" s="10" t="s">
        <v>535</v>
      </c>
      <c r="B135" t="s">
        <v>1515</v>
      </c>
      <c r="C135" t="str">
        <f>VLOOKUP(B135,[1]rt_remap_detail!$E$3:$F$4082,2,0)</f>
        <v>82-68-8</v>
      </c>
      <c r="D135" t="s">
        <v>1696</v>
      </c>
      <c r="E135" t="s">
        <v>1697</v>
      </c>
    </row>
    <row r="136" spans="1:5" customFormat="1" ht="12.75" hidden="1" x14ac:dyDescent="0.2">
      <c r="A136" s="10" t="s">
        <v>982</v>
      </c>
      <c r="B136" t="s">
        <v>1661</v>
      </c>
      <c r="C136" t="str">
        <f>VLOOKUP(B136,[1]rt_remap_detail!$E$3:$F$4082,2,0)</f>
        <v>76-01-7</v>
      </c>
      <c r="D136" t="s">
        <v>1696</v>
      </c>
      <c r="E136" t="s">
        <v>1697</v>
      </c>
    </row>
    <row r="137" spans="1:5" customFormat="1" ht="12.75" hidden="1" x14ac:dyDescent="0.2">
      <c r="A137" s="9" t="s">
        <v>477</v>
      </c>
      <c r="B137" t="s">
        <v>1498</v>
      </c>
      <c r="C137" t="str">
        <f>VLOOKUP(B137,[1]rt_remap_detail!$E$3:$F$4082,2,0)</f>
        <v>608-93-5</v>
      </c>
      <c r="D137" t="s">
        <v>1696</v>
      </c>
      <c r="E137" t="s">
        <v>1697</v>
      </c>
    </row>
    <row r="138" spans="1:5" customFormat="1" ht="12.75" hidden="1" x14ac:dyDescent="0.2">
      <c r="A138" s="9" t="s">
        <v>928</v>
      </c>
      <c r="B138" t="s">
        <v>1650</v>
      </c>
      <c r="C138" t="str">
        <f>VLOOKUP(B138,[1]rt_remap_detail!$E$3:$F$4082,2,0)</f>
        <v>40487-42-1</v>
      </c>
      <c r="D138" t="s">
        <v>1696</v>
      </c>
      <c r="E138" t="s">
        <v>1697</v>
      </c>
    </row>
    <row r="139" spans="1:5" customFormat="1" ht="12.75" hidden="1" x14ac:dyDescent="0.2">
      <c r="A139" s="10" t="s">
        <v>567</v>
      </c>
      <c r="B139" t="s">
        <v>1528</v>
      </c>
      <c r="C139" t="str">
        <f>VLOOKUP(B139,[1]rt_remap_detail!$E$3:$F$4082,2,0)</f>
        <v>60-11-7</v>
      </c>
      <c r="D139" t="s">
        <v>1696</v>
      </c>
      <c r="E139" t="s">
        <v>1697</v>
      </c>
    </row>
    <row r="140" spans="1:5" customFormat="1" ht="12.75" hidden="1" x14ac:dyDescent="0.2">
      <c r="A140" s="9" t="s">
        <v>660</v>
      </c>
      <c r="B140" t="s">
        <v>1563</v>
      </c>
      <c r="C140" t="str">
        <f>VLOOKUP(B140,[1]rt_remap_detail!$E$3:$F$4082,2,0)</f>
        <v>11100-14-4</v>
      </c>
      <c r="D140" t="s">
        <v>1696</v>
      </c>
      <c r="E140" t="s">
        <v>1697</v>
      </c>
    </row>
    <row r="141" spans="1:5" customFormat="1" ht="12.75" hidden="1" x14ac:dyDescent="0.2">
      <c r="A141" s="10" t="s">
        <v>665</v>
      </c>
      <c r="B141" t="s">
        <v>1566</v>
      </c>
      <c r="C141" t="str">
        <f>VLOOKUP(B141,[1]rt_remap_detail!$E$3:$F$4082,2,0)</f>
        <v>37324-23-5</v>
      </c>
      <c r="D141" t="s">
        <v>1696</v>
      </c>
      <c r="E141" t="s">
        <v>1697</v>
      </c>
    </row>
    <row r="142" spans="1:5" customFormat="1" ht="12.75" hidden="1" x14ac:dyDescent="0.2">
      <c r="A142" s="10" t="s">
        <v>278</v>
      </c>
      <c r="B142" t="s">
        <v>1434</v>
      </c>
      <c r="C142" t="str">
        <f>VLOOKUP(B142,[1]rt_remap_detail!$E$3:$F$4082,2,0)</f>
        <v>11096-82-5</v>
      </c>
      <c r="D142" t="s">
        <v>1696</v>
      </c>
      <c r="E142" t="s">
        <v>1697</v>
      </c>
    </row>
    <row r="143" spans="1:5" customFormat="1" ht="12.75" hidden="1" x14ac:dyDescent="0.2">
      <c r="A143" s="9" t="s">
        <v>273</v>
      </c>
      <c r="B143" t="s">
        <v>1430</v>
      </c>
      <c r="C143" t="str">
        <f>VLOOKUP(B143,[1]rt_remap_detail!$E$3:$F$4082,2,0)</f>
        <v>11097-69-1</v>
      </c>
      <c r="D143" t="s">
        <v>1696</v>
      </c>
      <c r="E143" t="s">
        <v>1697</v>
      </c>
    </row>
    <row r="144" spans="1:5" customFormat="1" ht="12.75" hidden="1" x14ac:dyDescent="0.2">
      <c r="A144" s="9" t="s">
        <v>277</v>
      </c>
      <c r="B144" t="s">
        <v>1433</v>
      </c>
      <c r="C144" t="str">
        <f>VLOOKUP(B144,[1]rt_remap_detail!$E$3:$F$4082,2,0)</f>
        <v>12672-29-6</v>
      </c>
      <c r="D144" t="s">
        <v>1696</v>
      </c>
      <c r="E144" t="s">
        <v>1697</v>
      </c>
    </row>
    <row r="145" spans="1:5" customFormat="1" ht="12.75" hidden="1" x14ac:dyDescent="0.2">
      <c r="A145" s="9" t="s">
        <v>284</v>
      </c>
      <c r="B145" t="s">
        <v>1438</v>
      </c>
      <c r="C145" t="str">
        <f>VLOOKUP(B145,[1]rt_remap_detail!$E$3:$F$4082,2,0)</f>
        <v>53469-21-9</v>
      </c>
      <c r="D145" t="s">
        <v>1696</v>
      </c>
      <c r="E145" t="s">
        <v>1697</v>
      </c>
    </row>
    <row r="146" spans="1:5" customFormat="1" ht="12.75" hidden="1" x14ac:dyDescent="0.2">
      <c r="A146" s="10" t="s">
        <v>281</v>
      </c>
      <c r="B146" t="s">
        <v>1436</v>
      </c>
      <c r="C146" t="str">
        <f>VLOOKUP(B146,[1]rt_remap_detail!$E$3:$F$4082,2,0)</f>
        <v>11141-16-5</v>
      </c>
      <c r="D146" t="s">
        <v>1696</v>
      </c>
      <c r="E146" t="s">
        <v>1697</v>
      </c>
    </row>
    <row r="147" spans="1:5" customFormat="1" ht="12.75" hidden="1" x14ac:dyDescent="0.2">
      <c r="A147" s="9" t="s">
        <v>275</v>
      </c>
      <c r="B147" t="s">
        <v>1432</v>
      </c>
      <c r="C147" t="str">
        <f>VLOOKUP(B147,[1]rt_remap_detail!$E$3:$F$4082,2,0)</f>
        <v>11104-28-2</v>
      </c>
      <c r="D147" t="s">
        <v>1696</v>
      </c>
      <c r="E147" t="s">
        <v>1697</v>
      </c>
    </row>
    <row r="148" spans="1:5" customFormat="1" ht="12.75" hidden="1" x14ac:dyDescent="0.2">
      <c r="A148" s="9" t="s">
        <v>270</v>
      </c>
      <c r="B148" t="s">
        <v>1428</v>
      </c>
      <c r="C148" t="str">
        <f>VLOOKUP(B148,[1]rt_remap_detail!$E$3:$F$4082,2,0)</f>
        <v>12674-11-2</v>
      </c>
      <c r="D148" t="s">
        <v>1696</v>
      </c>
      <c r="E148" t="s">
        <v>1697</v>
      </c>
    </row>
    <row r="149" spans="1:5" customFormat="1" ht="12.75" x14ac:dyDescent="0.2">
      <c r="A149" s="10" t="s">
        <v>446</v>
      </c>
      <c r="B149" t="s">
        <v>1302</v>
      </c>
      <c r="C149" t="str">
        <f>VLOOKUP(B149,[1]rt_remap_detail!$E$3:$F$4082,2,0)</f>
        <v>298-00-0</v>
      </c>
      <c r="D149" t="s">
        <v>1696</v>
      </c>
      <c r="E149" t="s">
        <v>1696</v>
      </c>
    </row>
    <row r="150" spans="1:5" customFormat="1" ht="12.75" x14ac:dyDescent="0.2">
      <c r="A150" s="9" t="s">
        <v>177</v>
      </c>
      <c r="B150" t="s">
        <v>1114</v>
      </c>
      <c r="C150" t="str">
        <f>VLOOKUP(B150,[1]rt_remap_detail!$E$3:$F$4082,2,0)</f>
        <v>95-47-6</v>
      </c>
      <c r="D150" t="s">
        <v>1696</v>
      </c>
      <c r="E150" t="s">
        <v>1696</v>
      </c>
    </row>
    <row r="151" spans="1:5" x14ac:dyDescent="0.25">
      <c r="A151" s="16" t="s">
        <v>946</v>
      </c>
      <c r="B151" s="16" t="s">
        <v>1185</v>
      </c>
      <c r="C151" t="s">
        <v>946</v>
      </c>
      <c r="D151" t="s">
        <v>1696</v>
      </c>
      <c r="E151" s="16" t="s">
        <v>1696</v>
      </c>
    </row>
    <row r="152" spans="1:5" customFormat="1" ht="12.75" hidden="1" x14ac:dyDescent="0.2">
      <c r="A152" s="15" t="s">
        <v>741</v>
      </c>
      <c r="B152" t="s">
        <v>1399</v>
      </c>
      <c r="C152" t="str">
        <f>VLOOKUP(B152,[1]rt_remap_detail!$E$3:$F$4082,2,0)</f>
        <v>DO</v>
      </c>
      <c r="D152" t="s">
        <v>1696</v>
      </c>
      <c r="E152" t="s">
        <v>1697</v>
      </c>
    </row>
    <row r="153" spans="1:5" customFormat="1" ht="12.75" hidden="1" x14ac:dyDescent="0.2">
      <c r="A153" s="9" t="s">
        <v>645</v>
      </c>
      <c r="B153" t="s">
        <v>1558</v>
      </c>
      <c r="C153" t="str">
        <f>VLOOKUP(B153,[1]rt_remap_detail!$E$3:$F$4082,2,0)</f>
        <v>7782-44-7</v>
      </c>
      <c r="D153" t="s">
        <v>1696</v>
      </c>
      <c r="E153" t="s">
        <v>1697</v>
      </c>
    </row>
    <row r="154" spans="1:5" customFormat="1" ht="12.75" x14ac:dyDescent="0.2">
      <c r="A154" s="9" t="s">
        <v>716</v>
      </c>
      <c r="B154" t="s">
        <v>1189</v>
      </c>
      <c r="C154" t="str">
        <f>VLOOKUP(B154,[1]rt_remap_detail!$E$3:$F$4082,2,0)</f>
        <v>ORP</v>
      </c>
      <c r="D154" t="s">
        <v>1696</v>
      </c>
      <c r="E154" t="s">
        <v>1696</v>
      </c>
    </row>
    <row r="155" spans="1:5" customFormat="1" ht="12.75" hidden="1" x14ac:dyDescent="0.2">
      <c r="A155" s="10" t="s">
        <v>601</v>
      </c>
      <c r="B155" t="s">
        <v>1542</v>
      </c>
      <c r="C155" t="str">
        <f>VLOOKUP(B155,[1]rt_remap_detail!$E$3:$F$4082,2,0)</f>
        <v>95-53-4</v>
      </c>
      <c r="D155" t="s">
        <v>1696</v>
      </c>
      <c r="E155" t="s">
        <v>1697</v>
      </c>
    </row>
    <row r="156" spans="1:5" customFormat="1" ht="12.75" hidden="1" x14ac:dyDescent="0.2">
      <c r="A156" s="10" t="s">
        <v>980</v>
      </c>
      <c r="B156" t="s">
        <v>1660</v>
      </c>
      <c r="C156" t="str">
        <f>VLOOKUP(B156,[1]rt_remap_detail!$E$3:$F$4082,2,0)</f>
        <v>84-15-1</v>
      </c>
      <c r="D156" t="s">
        <v>1696</v>
      </c>
      <c r="E156" t="s">
        <v>1697</v>
      </c>
    </row>
    <row r="157" spans="1:5" customFormat="1" ht="12.75" hidden="1" x14ac:dyDescent="0.2">
      <c r="A157" s="10" t="s">
        <v>738</v>
      </c>
      <c r="B157" t="s">
        <v>1598</v>
      </c>
      <c r="C157" t="str">
        <f>VLOOKUP(B157,[1]rt_remap_detail!$E$3:$F$4082,2,0)</f>
        <v>ORG PB</v>
      </c>
      <c r="D157" t="s">
        <v>1696</v>
      </c>
      <c r="E157" t="s">
        <v>1697</v>
      </c>
    </row>
    <row r="158" spans="1:5" customFormat="1" ht="12.75" hidden="1" x14ac:dyDescent="0.2">
      <c r="A158" s="10" t="s">
        <v>886</v>
      </c>
      <c r="B158" t="s">
        <v>1366</v>
      </c>
      <c r="C158" t="str">
        <f>VLOOKUP(B158,[1]rt_remap_detail!$E$3:$F$4082,2,0)</f>
        <v>O&amp;G</v>
      </c>
      <c r="D158" t="s">
        <v>1696</v>
      </c>
      <c r="E158" t="s">
        <v>1697</v>
      </c>
    </row>
    <row r="159" spans="1:5" customFormat="1" ht="12.75" hidden="1" x14ac:dyDescent="0.2">
      <c r="A159" s="9" t="s">
        <v>1087</v>
      </c>
      <c r="B159" t="s">
        <v>1690</v>
      </c>
      <c r="C159" t="str">
        <f>VLOOKUP(B159,[1]rt_remap_detail!$E$3:$F$4082,2,0)</f>
        <v>57-11-4</v>
      </c>
      <c r="D159" t="s">
        <v>1696</v>
      </c>
      <c r="E159" t="s">
        <v>1697</v>
      </c>
    </row>
    <row r="160" spans="1:5" customFormat="1" ht="12.75" x14ac:dyDescent="0.2">
      <c r="A160" s="10" t="s">
        <v>1195</v>
      </c>
      <c r="B160" t="s">
        <v>1196</v>
      </c>
      <c r="C160" t="str">
        <f>VLOOKUP(B160,[1]rt_remap_detail!$E$3:$F$4082,2,0)</f>
        <v>630-02-4</v>
      </c>
      <c r="E160" t="s">
        <v>1696</v>
      </c>
    </row>
    <row r="161" spans="1:5" customFormat="1" ht="12.75" hidden="1" x14ac:dyDescent="0.2">
      <c r="A161" s="10" t="s">
        <v>282</v>
      </c>
      <c r="B161" t="s">
        <v>1437</v>
      </c>
      <c r="C161" t="str">
        <f>VLOOKUP(B161,[1]rt_remap_detail!$E$3:$F$4082,2,0)</f>
        <v>39001-02-0</v>
      </c>
      <c r="D161" t="s">
        <v>1696</v>
      </c>
      <c r="E161" t="s">
        <v>1697</v>
      </c>
    </row>
    <row r="162" spans="1:5" customFormat="1" ht="12.75" hidden="1" x14ac:dyDescent="0.2">
      <c r="A162" s="10" t="s">
        <v>628</v>
      </c>
      <c r="B162" t="s">
        <v>1550</v>
      </c>
      <c r="C162" t="str">
        <f>VLOOKUP(B162,[1]rt_remap_detail!$E$3:$F$4082,2,0)</f>
        <v>126-68-1</v>
      </c>
      <c r="D162" t="s">
        <v>1696</v>
      </c>
      <c r="E162" t="s">
        <v>1697</v>
      </c>
    </row>
    <row r="163" spans="1:5" customFormat="1" ht="12.75" x14ac:dyDescent="0.2">
      <c r="A163" s="10" t="s">
        <v>245</v>
      </c>
      <c r="B163" t="s">
        <v>1164</v>
      </c>
      <c r="C163" t="str">
        <f>VLOOKUP(B163,[1]rt_remap_detail!$E$3:$F$4082,2,0)</f>
        <v>103-65-1</v>
      </c>
      <c r="D163" t="s">
        <v>1696</v>
      </c>
      <c r="E163" t="s">
        <v>1696</v>
      </c>
    </row>
    <row r="164" spans="1:5" customFormat="1" ht="12.75" hidden="1" x14ac:dyDescent="0.2">
      <c r="A164" s="10" t="s">
        <v>687</v>
      </c>
      <c r="B164" t="s">
        <v>1575</v>
      </c>
      <c r="C164" t="str">
        <f>VLOOKUP(B164,[1]rt_remap_detail!$E$3:$F$4082,2,0)</f>
        <v>71-23-8</v>
      </c>
      <c r="D164" t="s">
        <v>1696</v>
      </c>
      <c r="E164" t="s">
        <v>1697</v>
      </c>
    </row>
    <row r="165" spans="1:5" customFormat="1" ht="12.75" hidden="1" x14ac:dyDescent="0.2">
      <c r="A165" s="10" t="s">
        <v>694</v>
      </c>
      <c r="B165" t="s">
        <v>1579</v>
      </c>
      <c r="C165" t="str">
        <f>VLOOKUP(B165,[1]rt_remap_detail!$E$3:$F$4082,2,0)</f>
        <v>111-84-2</v>
      </c>
      <c r="D165" t="s">
        <v>1696</v>
      </c>
      <c r="E165" t="s">
        <v>1697</v>
      </c>
    </row>
    <row r="166" spans="1:5" customFormat="1" ht="12.75" hidden="1" x14ac:dyDescent="0.2">
      <c r="A166" s="10" t="s">
        <v>454</v>
      </c>
      <c r="B166" t="s">
        <v>1483</v>
      </c>
      <c r="C166" t="str">
        <f>VLOOKUP(B166,[1]rt_remap_detail!$E$3:$F$4082,2,0)</f>
        <v>930-55-2</v>
      </c>
      <c r="D166" t="s">
        <v>1696</v>
      </c>
      <c r="E166" t="s">
        <v>1697</v>
      </c>
    </row>
    <row r="167" spans="1:5" customFormat="1" ht="12.75" hidden="1" x14ac:dyDescent="0.2">
      <c r="A167" s="10" t="s">
        <v>566</v>
      </c>
      <c r="B167" t="s">
        <v>1527</v>
      </c>
      <c r="C167" t="str">
        <f>VLOOKUP(B167,[1]rt_remap_detail!$E$3:$F$4082,2,0)</f>
        <v>100-75-4</v>
      </c>
      <c r="D167" t="s">
        <v>1696</v>
      </c>
      <c r="E167" t="s">
        <v>1697</v>
      </c>
    </row>
    <row r="168" spans="1:5" customFormat="1" ht="12.75" hidden="1" x14ac:dyDescent="0.2">
      <c r="A168" s="10" t="s">
        <v>541</v>
      </c>
      <c r="B168" t="s">
        <v>1518</v>
      </c>
      <c r="C168" t="str">
        <f>VLOOKUP(B168,[1]rt_remap_detail!$E$3:$F$4082,2,0)</f>
        <v>59-89-2</v>
      </c>
      <c r="D168" t="s">
        <v>1696</v>
      </c>
      <c r="E168" t="s">
        <v>1697</v>
      </c>
    </row>
    <row r="169" spans="1:5" customFormat="1" ht="12.75" hidden="1" x14ac:dyDescent="0.2">
      <c r="A169" s="10" t="s">
        <v>562</v>
      </c>
      <c r="B169" t="s">
        <v>1526</v>
      </c>
      <c r="C169" t="str">
        <f>VLOOKUP(B169,[1]rt_remap_detail!$E$3:$F$4082,2,0)</f>
        <v>10595-95-6</v>
      </c>
      <c r="D169" t="s">
        <v>1696</v>
      </c>
      <c r="E169" t="s">
        <v>1697</v>
      </c>
    </row>
    <row r="170" spans="1:5" customFormat="1" ht="12.75" x14ac:dyDescent="0.2">
      <c r="A170" s="10" t="s">
        <v>341</v>
      </c>
      <c r="B170" t="s">
        <v>1292</v>
      </c>
      <c r="C170" t="str">
        <f>VLOOKUP(B170,[1]rt_remap_detail!$E$3:$F$4082,2,0)</f>
        <v>86-30-6</v>
      </c>
      <c r="D170" t="s">
        <v>1696</v>
      </c>
      <c r="E170" t="s">
        <v>1696</v>
      </c>
    </row>
    <row r="171" spans="1:5" customFormat="1" ht="12.75" x14ac:dyDescent="0.2">
      <c r="A171" s="10" t="s">
        <v>356</v>
      </c>
      <c r="B171" t="s">
        <v>1293</v>
      </c>
      <c r="C171" t="str">
        <f>VLOOKUP(B171,[1]rt_remap_detail!$E$3:$F$4082,2,0)</f>
        <v>621-64-7</v>
      </c>
      <c r="D171" t="s">
        <v>1696</v>
      </c>
      <c r="E171" t="s">
        <v>1696</v>
      </c>
    </row>
    <row r="172" spans="1:5" customFormat="1" ht="12.75" hidden="1" x14ac:dyDescent="0.2">
      <c r="A172" s="9" t="s">
        <v>470</v>
      </c>
      <c r="B172" t="s">
        <v>1495</v>
      </c>
      <c r="C172" t="str">
        <f>VLOOKUP(B172,[1]rt_remap_detail!$E$3:$F$4082,2,0)</f>
        <v>924-16-3</v>
      </c>
      <c r="D172" t="s">
        <v>1696</v>
      </c>
      <c r="E172" t="s">
        <v>1697</v>
      </c>
    </row>
    <row r="173" spans="1:5" customFormat="1" ht="12.75" x14ac:dyDescent="0.2">
      <c r="A173" s="10" t="s">
        <v>536</v>
      </c>
      <c r="B173" t="s">
        <v>1291</v>
      </c>
      <c r="C173" t="str">
        <f>VLOOKUP(B173,[1]rt_remap_detail!$E$3:$F$4082,2,0)</f>
        <v>62-75-9</v>
      </c>
      <c r="D173" t="s">
        <v>1696</v>
      </c>
      <c r="E173" t="s">
        <v>1696</v>
      </c>
    </row>
    <row r="174" spans="1:5" customFormat="1" ht="12.75" hidden="1" x14ac:dyDescent="0.2">
      <c r="A174" s="10" t="s">
        <v>458</v>
      </c>
      <c r="B174" t="s">
        <v>1485</v>
      </c>
      <c r="C174" t="str">
        <f>VLOOKUP(B174,[1]rt_remap_detail!$E$3:$F$4082,2,0)</f>
        <v>55-18-5</v>
      </c>
      <c r="D174" t="s">
        <v>1696</v>
      </c>
      <c r="E174" t="s">
        <v>1697</v>
      </c>
    </row>
    <row r="175" spans="1:5" customFormat="1" ht="12.75" hidden="1" x14ac:dyDescent="0.2">
      <c r="A175" s="9" t="s">
        <v>360</v>
      </c>
      <c r="B175" t="s">
        <v>1450</v>
      </c>
      <c r="C175" t="str">
        <f>VLOOKUP(B175,[1]rt_remap_detail!$E$3:$F$4082,2,0)</f>
        <v>NITRITE-N</v>
      </c>
      <c r="D175" t="s">
        <v>1696</v>
      </c>
      <c r="E175" t="s">
        <v>1697</v>
      </c>
    </row>
    <row r="176" spans="1:5" customFormat="1" ht="12.75" hidden="1" x14ac:dyDescent="0.2">
      <c r="A176" s="9" t="s">
        <v>377</v>
      </c>
      <c r="B176" t="s">
        <v>1407</v>
      </c>
      <c r="C176" t="str">
        <f>VLOOKUP(B176,[1]rt_remap_detail!$E$3:$F$4082,2,0)</f>
        <v>NO3NO2N</v>
      </c>
      <c r="D176" t="s">
        <v>1696</v>
      </c>
      <c r="E176" t="s">
        <v>1697</v>
      </c>
    </row>
    <row r="177" spans="1:5" customFormat="1" ht="12.75" x14ac:dyDescent="0.2">
      <c r="A177" s="9" t="s">
        <v>353</v>
      </c>
      <c r="B177" t="s">
        <v>1188</v>
      </c>
      <c r="C177" t="str">
        <f>VLOOKUP(B177,[1]rt_remap_detail!$E$3:$F$4082,2,0)</f>
        <v>NITRATE-N</v>
      </c>
      <c r="D177" t="s">
        <v>1696</v>
      </c>
      <c r="E177" t="s">
        <v>1696</v>
      </c>
    </row>
    <row r="178" spans="1:5" customFormat="1" ht="12.75" hidden="1" x14ac:dyDescent="0.2">
      <c r="A178" s="10" t="s">
        <v>182</v>
      </c>
      <c r="B178" t="s">
        <v>1408</v>
      </c>
      <c r="C178" t="str">
        <f>VLOOKUP(B178,[1]rt_remap_detail!$E$3:$F$4082,2,0)</f>
        <v>TKN</v>
      </c>
      <c r="D178" t="s">
        <v>1696</v>
      </c>
      <c r="E178" t="s">
        <v>1697</v>
      </c>
    </row>
    <row r="179" spans="1:5" customFormat="1" ht="12.75" x14ac:dyDescent="0.2">
      <c r="A179" s="10" t="s">
        <v>650</v>
      </c>
      <c r="B179" t="s">
        <v>1340</v>
      </c>
      <c r="C179" t="str">
        <f>VLOOKUP(B179,[1]rt_remap_detail!$E$3:$F$4082,2,0)</f>
        <v>7727-37-9</v>
      </c>
      <c r="D179" t="s">
        <v>1696</v>
      </c>
      <c r="E179" t="s">
        <v>1696</v>
      </c>
    </row>
    <row r="180" spans="1:5" customFormat="1" ht="12.75" x14ac:dyDescent="0.2">
      <c r="A180" s="10" t="s">
        <v>1298</v>
      </c>
      <c r="B180" t="s">
        <v>1299</v>
      </c>
      <c r="C180" t="str">
        <f>VLOOKUP(B180,[1]rt_remap_detail!$E$3:$F$4082,2,0)</f>
        <v>4165-60-0</v>
      </c>
      <c r="E180" t="s">
        <v>1696</v>
      </c>
    </row>
    <row r="181" spans="1:5" customFormat="1" ht="12.75" x14ac:dyDescent="0.2">
      <c r="A181" s="10" t="s">
        <v>334</v>
      </c>
      <c r="B181" t="s">
        <v>1297</v>
      </c>
      <c r="C181" t="str">
        <f>VLOOKUP(B181,[1]rt_remap_detail!$E$3:$F$4082,2,0)</f>
        <v>98-95-3</v>
      </c>
      <c r="D181" t="s">
        <v>1696</v>
      </c>
      <c r="E181" t="s">
        <v>1696</v>
      </c>
    </row>
    <row r="182" spans="1:5" customFormat="1" ht="12.75" hidden="1" x14ac:dyDescent="0.2">
      <c r="A182" s="9" t="s">
        <v>557</v>
      </c>
      <c r="B182" t="s">
        <v>1524</v>
      </c>
      <c r="C182" t="str">
        <f>VLOOKUP(B182,[1]rt_remap_detail!$E$3:$F$4082,2,0)</f>
        <v>14797-65-0</v>
      </c>
      <c r="D182" t="s">
        <v>1696</v>
      </c>
      <c r="E182" t="s">
        <v>1697</v>
      </c>
    </row>
    <row r="183" spans="1:5" customFormat="1" ht="12.75" hidden="1" x14ac:dyDescent="0.2">
      <c r="A183" s="10" t="s">
        <v>1005</v>
      </c>
      <c r="B183" t="s">
        <v>1380</v>
      </c>
      <c r="C183" t="e">
        <f>VLOOKUP(B183,[1]rt_remap_detail!$E$3:$F$4082,2,0)</f>
        <v>#N/A</v>
      </c>
      <c r="D183" t="s">
        <v>1696</v>
      </c>
      <c r="E183" t="s">
        <v>1697</v>
      </c>
    </row>
    <row r="184" spans="1:5" customFormat="1" ht="12.75" hidden="1" x14ac:dyDescent="0.2">
      <c r="A184" s="9" t="s">
        <v>449</v>
      </c>
      <c r="B184" t="s">
        <v>1480</v>
      </c>
      <c r="C184" t="str">
        <f>VLOOKUP(B184,[1]rt_remap_detail!$E$3:$F$4082,2,0)</f>
        <v>14797-55-8</v>
      </c>
      <c r="D184" t="s">
        <v>1696</v>
      </c>
      <c r="E184" t="s">
        <v>1697</v>
      </c>
    </row>
    <row r="185" spans="1:5" customFormat="1" ht="12.75" x14ac:dyDescent="0.2">
      <c r="A185" s="10" t="s">
        <v>233</v>
      </c>
      <c r="B185" t="s">
        <v>1290</v>
      </c>
      <c r="C185" t="str">
        <f>VLOOKUP(B185,[1]rt_remap_detail!$E$3:$F$4082,2,0)</f>
        <v>7440-02-0</v>
      </c>
      <c r="D185" t="s">
        <v>1696</v>
      </c>
      <c r="E185" t="s">
        <v>1696</v>
      </c>
    </row>
    <row r="186" spans="1:5" customFormat="1" ht="12.75" x14ac:dyDescent="0.2">
      <c r="A186" s="9" t="s">
        <v>190</v>
      </c>
      <c r="B186" t="s">
        <v>1120</v>
      </c>
      <c r="C186" t="str">
        <f>VLOOKUP(B186,[1]rt_remap_detail!$E$3:$F$4082,2,0)</f>
        <v>104-51-8</v>
      </c>
      <c r="D186" t="s">
        <v>1696</v>
      </c>
      <c r="E186" t="s">
        <v>1696</v>
      </c>
    </row>
    <row r="187" spans="1:5" customFormat="1" ht="12.75" hidden="1" x14ac:dyDescent="0.2">
      <c r="A187" s="9" t="s">
        <v>1010</v>
      </c>
      <c r="B187" t="s">
        <v>1667</v>
      </c>
      <c r="C187" t="str">
        <f>VLOOKUP(B187,[1]rt_remap_detail!$E$3:$F$4082,2,0)</f>
        <v>71-36-3</v>
      </c>
      <c r="D187" t="s">
        <v>1696</v>
      </c>
      <c r="E187" t="s">
        <v>1697</v>
      </c>
    </row>
    <row r="188" spans="1:5" customFormat="1" ht="12.75" x14ac:dyDescent="0.2">
      <c r="A188" s="10" t="s">
        <v>185</v>
      </c>
      <c r="B188" t="s">
        <v>1163</v>
      </c>
      <c r="C188" t="str">
        <f>VLOOKUP(B188,[1]rt_remap_detail!$E$3:$F$4082,2,0)</f>
        <v>91-20-3</v>
      </c>
      <c r="D188" t="s">
        <v>1696</v>
      </c>
      <c r="E188" t="s">
        <v>1696</v>
      </c>
    </row>
    <row r="189" spans="1:5" customFormat="1" ht="12.75" hidden="1" x14ac:dyDescent="0.2">
      <c r="A189" s="10" t="s">
        <v>899</v>
      </c>
      <c r="B189" t="s">
        <v>1632</v>
      </c>
      <c r="C189" t="str">
        <f>VLOOKUP(B189,[1]rt_remap_detail!$E$3:$F$4082,2,0)</f>
        <v>8030-30-6</v>
      </c>
      <c r="D189" t="s">
        <v>1696</v>
      </c>
      <c r="E189" t="s">
        <v>1697</v>
      </c>
    </row>
    <row r="190" spans="1:5" customFormat="1" ht="12.75" x14ac:dyDescent="0.2">
      <c r="A190" s="10" t="s">
        <v>531</v>
      </c>
      <c r="B190" t="s">
        <v>1289</v>
      </c>
      <c r="C190" t="str">
        <f>VLOOKUP(B190,[1]rt_remap_detail!$E$3:$F$4082,2,0)</f>
        <v>300-76-5</v>
      </c>
      <c r="D190" t="s">
        <v>1696</v>
      </c>
      <c r="E190" t="s">
        <v>1696</v>
      </c>
    </row>
    <row r="191" spans="1:5" customFormat="1" ht="12.75" hidden="1" x14ac:dyDescent="0.2">
      <c r="A191" s="9" t="s">
        <v>711</v>
      </c>
      <c r="B191" t="s">
        <v>1357</v>
      </c>
      <c r="C191" t="e">
        <f>VLOOKUP(B191,[1]rt_remap_detail!$E$3:$F$4082,2,0)</f>
        <v>#N/A</v>
      </c>
      <c r="D191" t="s">
        <v>1696</v>
      </c>
      <c r="E191" t="s">
        <v>1697</v>
      </c>
    </row>
    <row r="192" spans="1:5" customFormat="1" ht="12.75" hidden="1" x14ac:dyDescent="0.2">
      <c r="A192" s="10" t="s">
        <v>924</v>
      </c>
      <c r="B192" t="s">
        <v>1647</v>
      </c>
      <c r="C192" t="str">
        <f>VLOOKUP(B192,[1]rt_remap_detail!$E$3:$F$4082,2,0)</f>
        <v>6923-22-4</v>
      </c>
      <c r="D192" t="s">
        <v>1696</v>
      </c>
      <c r="E192" t="s">
        <v>1697</v>
      </c>
    </row>
    <row r="193" spans="1:5" customFormat="1" ht="12.75" x14ac:dyDescent="0.2">
      <c r="A193" s="10" t="s">
        <v>325</v>
      </c>
      <c r="B193" t="s">
        <v>1285</v>
      </c>
      <c r="C193" t="str">
        <f>VLOOKUP(B193,[1]rt_remap_detail!$E$3:$F$4082,2,0)</f>
        <v>7439-98-7</v>
      </c>
      <c r="D193" t="s">
        <v>1696</v>
      </c>
      <c r="E193" t="s">
        <v>1696</v>
      </c>
    </row>
    <row r="194" spans="1:5" customFormat="1" ht="12.75" hidden="1" x14ac:dyDescent="0.2">
      <c r="A194" s="10" t="s">
        <v>715</v>
      </c>
      <c r="B194" t="s">
        <v>1586</v>
      </c>
      <c r="C194" t="str">
        <f>VLOOKUP(B194,[1]rt_remap_detail!$E$3:$F$4082,2,0)</f>
        <v>64475-85-0</v>
      </c>
      <c r="D194" t="s">
        <v>1696</v>
      </c>
      <c r="E194" t="s">
        <v>1697</v>
      </c>
    </row>
    <row r="195" spans="1:5" customFormat="1" ht="12.75" x14ac:dyDescent="0.2">
      <c r="A195" s="9" t="s">
        <v>430</v>
      </c>
      <c r="B195" t="s">
        <v>1284</v>
      </c>
      <c r="C195" t="str">
        <f>VLOOKUP(B195,[1]rt_remap_detail!$E$3:$F$4082,2,0)</f>
        <v>7786-34-7</v>
      </c>
      <c r="D195" t="s">
        <v>1696</v>
      </c>
      <c r="E195" t="s">
        <v>1696</v>
      </c>
    </row>
    <row r="196" spans="1:5" customFormat="1" ht="12.75" x14ac:dyDescent="0.2">
      <c r="A196" s="10" t="s">
        <v>242</v>
      </c>
      <c r="B196" t="s">
        <v>1161</v>
      </c>
      <c r="C196" t="str">
        <f>VLOOKUP(B196,[1]rt_remap_detail!$E$3:$F$4082,2,0)</f>
        <v>1634-04-4</v>
      </c>
      <c r="D196" t="s">
        <v>1696</v>
      </c>
      <c r="E196" t="s">
        <v>1696</v>
      </c>
    </row>
    <row r="197" spans="1:5" customFormat="1" ht="12.75" hidden="1" x14ac:dyDescent="0.2">
      <c r="A197" s="10" t="s">
        <v>479</v>
      </c>
      <c r="B197" t="s">
        <v>1499</v>
      </c>
      <c r="C197" t="str">
        <f>VLOOKUP(B197,[1]rt_remap_detail!$E$3:$F$4082,2,0)</f>
        <v>80-62-6</v>
      </c>
      <c r="D197" t="s">
        <v>1696</v>
      </c>
      <c r="E197" t="s">
        <v>1697</v>
      </c>
    </row>
    <row r="198" spans="1:5" customFormat="1" ht="12.75" x14ac:dyDescent="0.2">
      <c r="A198" s="10" t="s">
        <v>234</v>
      </c>
      <c r="B198" t="s">
        <v>1162</v>
      </c>
      <c r="C198" t="str">
        <f>VLOOKUP(B198,[1]rt_remap_detail!$E$3:$F$4082,2,0)</f>
        <v>75-09-2</v>
      </c>
      <c r="D198" t="s">
        <v>1696</v>
      </c>
      <c r="E198" t="s">
        <v>1696</v>
      </c>
    </row>
    <row r="199" spans="1:5" customFormat="1" ht="12.75" hidden="1" x14ac:dyDescent="0.2">
      <c r="A199" s="10" t="s">
        <v>820</v>
      </c>
      <c r="B199" t="s">
        <v>1404</v>
      </c>
      <c r="C199" t="str">
        <f>VLOOKUP(B199,[1]rt_remap_detail!$E$3:$F$4082,2,0)</f>
        <v>61-73-4</v>
      </c>
      <c r="D199" t="s">
        <v>1696</v>
      </c>
      <c r="E199" t="s">
        <v>1697</v>
      </c>
    </row>
    <row r="200" spans="1:5" customFormat="1" ht="12.75" hidden="1" x14ac:dyDescent="0.2">
      <c r="A200" s="10" t="s">
        <v>766</v>
      </c>
      <c r="B200" t="s">
        <v>1360</v>
      </c>
      <c r="C200" t="e">
        <f>VLOOKUP(B200,[1]rt_remap_detail!$E$3:$F$4082,2,0)</f>
        <v>#N/A</v>
      </c>
      <c r="D200" t="s">
        <v>1696</v>
      </c>
      <c r="E200" t="s">
        <v>1697</v>
      </c>
    </row>
    <row r="201" spans="1:5" customFormat="1" ht="12.75" hidden="1" x14ac:dyDescent="0.2">
      <c r="A201" s="10" t="s">
        <v>1036</v>
      </c>
      <c r="B201" t="s">
        <v>1676</v>
      </c>
      <c r="C201" t="str">
        <f>VLOOKUP(B201,[1]rt_remap_detail!$E$3:$F$4082,2,0)</f>
        <v>479-45-8</v>
      </c>
      <c r="D201" t="s">
        <v>1696</v>
      </c>
      <c r="E201" t="s">
        <v>1697</v>
      </c>
    </row>
    <row r="202" spans="1:5" customFormat="1" ht="12.75" hidden="1" x14ac:dyDescent="0.2">
      <c r="A202" s="10" t="s">
        <v>765</v>
      </c>
      <c r="B202" t="s">
        <v>1359</v>
      </c>
      <c r="C202" t="e">
        <f>VLOOKUP(B202,[1]rt_remap_detail!$E$3:$F$4082,2,0)</f>
        <v>#N/A</v>
      </c>
      <c r="D202" t="s">
        <v>1696</v>
      </c>
      <c r="E202" t="s">
        <v>1697</v>
      </c>
    </row>
    <row r="203" spans="1:5" customFormat="1" ht="12.75" x14ac:dyDescent="0.2">
      <c r="A203" s="9" t="s">
        <v>412</v>
      </c>
      <c r="B203" t="s">
        <v>1288</v>
      </c>
      <c r="C203" t="str">
        <f>VLOOKUP(B203,[1]rt_remap_detail!$E$3:$F$4082,2,0)</f>
        <v>72-43-5</v>
      </c>
      <c r="D203" t="s">
        <v>1696</v>
      </c>
      <c r="E203" t="s">
        <v>1696</v>
      </c>
    </row>
    <row r="204" spans="1:5" customFormat="1" ht="12.75" hidden="1" x14ac:dyDescent="0.2">
      <c r="A204" s="9" t="s">
        <v>437</v>
      </c>
      <c r="B204" t="s">
        <v>1474</v>
      </c>
      <c r="C204" t="str">
        <f>VLOOKUP(B204,[1]rt_remap_detail!$E$3:$F$4082,2,0)</f>
        <v>91-80-5</v>
      </c>
      <c r="D204" t="s">
        <v>1696</v>
      </c>
      <c r="E204" t="s">
        <v>1697</v>
      </c>
    </row>
    <row r="205" spans="1:5" customFormat="1" ht="12.75" hidden="1" x14ac:dyDescent="0.2">
      <c r="A205" s="9" t="s">
        <v>692</v>
      </c>
      <c r="B205" t="s">
        <v>1578</v>
      </c>
      <c r="C205" t="str">
        <f>VLOOKUP(B205,[1]rt_remap_detail!$E$3:$F$4082,2,0)</f>
        <v>67-56-1</v>
      </c>
      <c r="D205" t="s">
        <v>1696</v>
      </c>
      <c r="E205" t="s">
        <v>1697</v>
      </c>
    </row>
    <row r="206" spans="1:5" customFormat="1" ht="12.75" x14ac:dyDescent="0.2">
      <c r="A206" s="9" t="s">
        <v>241</v>
      </c>
      <c r="B206" t="s">
        <v>1191</v>
      </c>
      <c r="C206" t="str">
        <f>VLOOKUP(B206,[1]rt_remap_detail!$E$3:$F$4082,2,0)</f>
        <v>74-82-8</v>
      </c>
      <c r="D206" t="s">
        <v>1696</v>
      </c>
      <c r="E206" t="s">
        <v>1696</v>
      </c>
    </row>
    <row r="207" spans="1:5" customFormat="1" ht="12.75" x14ac:dyDescent="0.2">
      <c r="A207" s="10" t="s">
        <v>436</v>
      </c>
      <c r="B207" t="s">
        <v>1283</v>
      </c>
      <c r="C207" t="str">
        <f>VLOOKUP(B207,[1]rt_remap_detail!$E$3:$F$4082,2,0)</f>
        <v>150-50-5</v>
      </c>
      <c r="D207" t="s">
        <v>1696</v>
      </c>
      <c r="E207" t="s">
        <v>1696</v>
      </c>
    </row>
    <row r="208" spans="1:5" customFormat="1" ht="12.75" x14ac:dyDescent="0.2">
      <c r="A208" s="10" t="s">
        <v>327</v>
      </c>
      <c r="B208" t="s">
        <v>1194</v>
      </c>
      <c r="C208" t="str">
        <f>VLOOKUP(B208,[1]rt_remap_detail!$E$3:$F$4082,2,0)</f>
        <v>7439-97-6</v>
      </c>
      <c r="D208" t="s">
        <v>1696</v>
      </c>
      <c r="E208" t="s">
        <v>1696</v>
      </c>
    </row>
    <row r="209" spans="1:5" customFormat="1" ht="12.75" hidden="1" x14ac:dyDescent="0.2">
      <c r="A209" s="9" t="s">
        <v>428</v>
      </c>
      <c r="B209" t="s">
        <v>1470</v>
      </c>
      <c r="C209" t="str">
        <f>VLOOKUP(B209,[1]rt_remap_detail!$E$3:$F$4082,2,0)</f>
        <v>93-65-2</v>
      </c>
      <c r="D209" t="s">
        <v>1696</v>
      </c>
      <c r="E209" t="s">
        <v>1697</v>
      </c>
    </row>
    <row r="210" spans="1:5" customFormat="1" ht="12.75" hidden="1" x14ac:dyDescent="0.2">
      <c r="A210" s="9" t="s">
        <v>540</v>
      </c>
      <c r="B210" t="s">
        <v>1517</v>
      </c>
      <c r="C210" t="str">
        <f>VLOOKUP(B210,[1]rt_remap_detail!$E$3:$F$4082,2,0)</f>
        <v>94-74-6</v>
      </c>
      <c r="D210" t="s">
        <v>1696</v>
      </c>
      <c r="E210" t="s">
        <v>1697</v>
      </c>
    </row>
    <row r="211" spans="1:5" customFormat="1" ht="12.75" x14ac:dyDescent="0.2">
      <c r="A211" s="9" t="s">
        <v>232</v>
      </c>
      <c r="B211" t="s">
        <v>1192</v>
      </c>
      <c r="C211" t="str">
        <f>VLOOKUP(B211,[1]rt_remap_detail!$E$3:$F$4082,2,0)</f>
        <v>7439-96-5</v>
      </c>
      <c r="D211" t="s">
        <v>1696</v>
      </c>
      <c r="E211" t="s">
        <v>1696</v>
      </c>
    </row>
    <row r="212" spans="1:5" customFormat="1" ht="12.75" hidden="1" x14ac:dyDescent="0.2">
      <c r="A212" s="9" t="s">
        <v>921</v>
      </c>
      <c r="B212" t="s">
        <v>1645</v>
      </c>
      <c r="C212" t="str">
        <f>VLOOKUP(B212,[1]rt_remap_detail!$E$3:$F$4082,2,0)</f>
        <v>121-75-5</v>
      </c>
      <c r="D212" t="s">
        <v>1696</v>
      </c>
      <c r="E212" t="s">
        <v>1697</v>
      </c>
    </row>
    <row r="213" spans="1:5" customFormat="1" ht="12.75" hidden="1" x14ac:dyDescent="0.2">
      <c r="A213" s="10" t="s">
        <v>255</v>
      </c>
      <c r="B213" t="s">
        <v>1421</v>
      </c>
      <c r="C213" t="str">
        <f>VLOOKUP(B213,[1]rt_remap_detail!$E$3:$F$4082,2,0)</f>
        <v>7439-95-4</v>
      </c>
      <c r="D213" t="s">
        <v>1696</v>
      </c>
      <c r="E213" t="s">
        <v>1697</v>
      </c>
    </row>
    <row r="214" spans="1:5" customFormat="1" ht="12.75" x14ac:dyDescent="0.2">
      <c r="A214" s="10" t="s">
        <v>276</v>
      </c>
      <c r="B214" t="s">
        <v>1303</v>
      </c>
      <c r="C214" t="str">
        <f>VLOOKUP(B214,[1]rt_remap_detail!$E$3:$F$4082,2,0)</f>
        <v>7439-92-1</v>
      </c>
      <c r="D214" t="s">
        <v>1696</v>
      </c>
      <c r="E214" t="s">
        <v>1696</v>
      </c>
    </row>
    <row r="215" spans="1:5" customFormat="1" ht="12.75" hidden="1" x14ac:dyDescent="0.2">
      <c r="A215" s="9" t="s">
        <v>445</v>
      </c>
      <c r="B215" t="s">
        <v>1479</v>
      </c>
      <c r="C215" t="str">
        <f>VLOOKUP(B215,[1]rt_remap_detail!$E$3:$F$4082,2,0)</f>
        <v>143-50-0</v>
      </c>
      <c r="D215" t="s">
        <v>1696</v>
      </c>
      <c r="E215" t="s">
        <v>1697</v>
      </c>
    </row>
    <row r="216" spans="1:5" customFormat="1" ht="12.75" hidden="1" x14ac:dyDescent="0.2">
      <c r="A216" s="9" t="s">
        <v>1092</v>
      </c>
      <c r="B216" t="s">
        <v>1691</v>
      </c>
      <c r="C216" t="str">
        <f>VLOOKUP(B216,[1]rt_remap_detail!$E$3:$F$4082,2,0)</f>
        <v>94114-58-6</v>
      </c>
      <c r="D216" t="s">
        <v>1696</v>
      </c>
      <c r="E216" t="s">
        <v>1697</v>
      </c>
    </row>
    <row r="217" spans="1:5" customFormat="1" ht="12.75" hidden="1" x14ac:dyDescent="0.2">
      <c r="A217" s="9" t="s">
        <v>471</v>
      </c>
      <c r="B217" t="s">
        <v>1496</v>
      </c>
      <c r="C217" t="str">
        <f>VLOOKUP(B217,[1]rt_remap_detail!$E$3:$F$4082,2,0)</f>
        <v>120-58-1</v>
      </c>
      <c r="D217" t="s">
        <v>1696</v>
      </c>
      <c r="E217" t="s">
        <v>1697</v>
      </c>
    </row>
    <row r="218" spans="1:5" customFormat="1" ht="12.75" x14ac:dyDescent="0.2">
      <c r="A218" s="9" t="s">
        <v>203</v>
      </c>
      <c r="B218" t="s">
        <v>1158</v>
      </c>
      <c r="C218" t="str">
        <f>VLOOKUP(B218,[1]rt_remap_detail!$E$3:$F$4082,2,0)</f>
        <v>98-82-8</v>
      </c>
      <c r="D218" t="s">
        <v>1696</v>
      </c>
      <c r="E218" t="s">
        <v>1696</v>
      </c>
    </row>
    <row r="219" spans="1:5" customFormat="1" ht="12.75" x14ac:dyDescent="0.2">
      <c r="A219" s="9" t="s">
        <v>317</v>
      </c>
      <c r="B219" t="s">
        <v>1280</v>
      </c>
      <c r="C219" t="str">
        <f>VLOOKUP(B219,[1]rt_remap_detail!$E$3:$F$4082,2,0)</f>
        <v>78-59-1</v>
      </c>
      <c r="D219" t="s">
        <v>1696</v>
      </c>
      <c r="E219" t="s">
        <v>1696</v>
      </c>
    </row>
    <row r="220" spans="1:5" customFormat="1" ht="12.75" hidden="1" x14ac:dyDescent="0.2">
      <c r="A220" s="9" t="s">
        <v>385</v>
      </c>
      <c r="B220" t="s">
        <v>1463</v>
      </c>
      <c r="C220" t="str">
        <f>VLOOKUP(B220,[1]rt_remap_detail!$E$3:$F$4082,2,0)</f>
        <v>646-07-1</v>
      </c>
      <c r="D220" t="s">
        <v>1696</v>
      </c>
      <c r="E220" t="s">
        <v>1697</v>
      </c>
    </row>
    <row r="221" spans="1:5" customFormat="1" ht="12.75" hidden="1" x14ac:dyDescent="0.2">
      <c r="A221" s="9" t="s">
        <v>450</v>
      </c>
      <c r="B221" t="s">
        <v>1481</v>
      </c>
      <c r="C221" t="str">
        <f>VLOOKUP(B221,[1]rt_remap_detail!$E$3:$F$4082,2,0)</f>
        <v>465-73-6</v>
      </c>
      <c r="D221" t="s">
        <v>1696</v>
      </c>
      <c r="E221" t="s">
        <v>1697</v>
      </c>
    </row>
    <row r="222" spans="1:5" customFormat="1" ht="12.75" hidden="1" x14ac:dyDescent="0.2">
      <c r="A222" s="9" t="s">
        <v>942</v>
      </c>
      <c r="B222" t="s">
        <v>1653</v>
      </c>
      <c r="C222" t="str">
        <f>VLOOKUP(B222,[1]rt_remap_detail!$E$3:$F$4082,2,0)</f>
        <v>538-93-2</v>
      </c>
      <c r="D222" t="s">
        <v>1696</v>
      </c>
      <c r="E222" t="s">
        <v>1697</v>
      </c>
    </row>
    <row r="223" spans="1:5" customFormat="1" ht="12.75" hidden="1" x14ac:dyDescent="0.2">
      <c r="A223" s="10" t="s">
        <v>500</v>
      </c>
      <c r="B223" t="s">
        <v>1501</v>
      </c>
      <c r="C223" t="str">
        <f>VLOOKUP(B223,[1]rt_remap_detail!$E$3:$F$4082,2,0)</f>
        <v>78-83-1</v>
      </c>
      <c r="D223" t="s">
        <v>1696</v>
      </c>
      <c r="E223" t="s">
        <v>1697</v>
      </c>
    </row>
    <row r="224" spans="1:5" customFormat="1" ht="12.75" hidden="1" x14ac:dyDescent="0.2">
      <c r="A224" s="9" t="s">
        <v>671</v>
      </c>
      <c r="B224" t="s">
        <v>1571</v>
      </c>
      <c r="C224" t="str">
        <f>VLOOKUP(B224,[1]rt_remap_detail!$E$3:$F$4082,2,0)</f>
        <v>75-28-5</v>
      </c>
      <c r="D224" t="s">
        <v>1696</v>
      </c>
      <c r="E224" t="s">
        <v>1697</v>
      </c>
    </row>
    <row r="225" spans="1:5" customFormat="1" ht="12.75" hidden="1" x14ac:dyDescent="0.2">
      <c r="A225" s="9" t="s">
        <v>297</v>
      </c>
      <c r="B225" t="s">
        <v>1444</v>
      </c>
      <c r="C225" t="str">
        <f>VLOOKUP(B225,[1]rt_remap_detail!$E$3:$F$4082,2,0)</f>
        <v>7439-89-6</v>
      </c>
      <c r="D225" t="s">
        <v>1696</v>
      </c>
      <c r="E225" t="s">
        <v>1697</v>
      </c>
    </row>
    <row r="226" spans="1:5" customFormat="1" ht="12.75" x14ac:dyDescent="0.2">
      <c r="A226" s="9" t="s">
        <v>304</v>
      </c>
      <c r="B226" t="s">
        <v>1279</v>
      </c>
      <c r="C226" t="str">
        <f>VLOOKUP(B226,[1]rt_remap_detail!$E$3:$F$4082,2,0)</f>
        <v>193-39-5</v>
      </c>
      <c r="D226" t="s">
        <v>1696</v>
      </c>
      <c r="E226" t="s">
        <v>1696</v>
      </c>
    </row>
    <row r="227" spans="1:5" customFormat="1" ht="12.75" hidden="1" x14ac:dyDescent="0.2">
      <c r="A227" s="10" t="s">
        <v>285</v>
      </c>
      <c r="B227" t="s">
        <v>1439</v>
      </c>
      <c r="C227" t="str">
        <f>VLOOKUP(B227,[1]rt_remap_detail!$E$3:$F$4082,2,0)</f>
        <v>IGNITE</v>
      </c>
      <c r="D227" t="s">
        <v>1696</v>
      </c>
      <c r="E227" t="s">
        <v>1697</v>
      </c>
    </row>
    <row r="228" spans="1:5" customFormat="1" ht="12.75" x14ac:dyDescent="0.2">
      <c r="A228" s="9" t="s">
        <v>1027</v>
      </c>
      <c r="B228" t="s">
        <v>1339</v>
      </c>
      <c r="C228" t="str">
        <f>VLOOKUP(B228,[1]rt_remap_detail!$E$3:$F$4082,2,0)</f>
        <v>1333-74-0</v>
      </c>
      <c r="D228" t="s">
        <v>1696</v>
      </c>
      <c r="E228" t="s">
        <v>1696</v>
      </c>
    </row>
    <row r="229" spans="1:5" customFormat="1" ht="12.75" hidden="1" x14ac:dyDescent="0.2">
      <c r="A229" s="9" t="s">
        <v>1022</v>
      </c>
      <c r="B229" t="s">
        <v>1382</v>
      </c>
      <c r="C229" t="e">
        <f>VLOOKUP(B229,[1]rt_remap_detail!$E$3:$F$4082,2,0)</f>
        <v>#N/A</v>
      </c>
      <c r="D229" t="s">
        <v>1696</v>
      </c>
      <c r="E229" t="s">
        <v>1697</v>
      </c>
    </row>
    <row r="230" spans="1:5" customFormat="1" ht="12.75" hidden="1" x14ac:dyDescent="0.2">
      <c r="A230" s="9" t="s">
        <v>386</v>
      </c>
      <c r="B230" t="s">
        <v>1402</v>
      </c>
      <c r="C230" t="str">
        <f>VLOOKUP(B230,[1]rt_remap_detail!$E$3:$F$4082,2,0)</f>
        <v>142-62-1</v>
      </c>
      <c r="D230" t="s">
        <v>1696</v>
      </c>
      <c r="E230" t="s">
        <v>1697</v>
      </c>
    </row>
    <row r="231" spans="1:5" customFormat="1" ht="12.75" hidden="1" x14ac:dyDescent="0.2">
      <c r="A231" s="9" t="s">
        <v>812</v>
      </c>
      <c r="B231" t="s">
        <v>1361</v>
      </c>
      <c r="C231" t="str">
        <f>VLOOKUP(B231,[1]rt_remap_detail!$E$3:$F$4082,2,0)</f>
        <v>110-54-3</v>
      </c>
      <c r="D231" t="s">
        <v>1696</v>
      </c>
      <c r="E231" t="s">
        <v>1697</v>
      </c>
    </row>
    <row r="232" spans="1:5" customFormat="1" ht="12.75" hidden="1" x14ac:dyDescent="0.2">
      <c r="A232" s="9" t="s">
        <v>186</v>
      </c>
      <c r="B232" t="s">
        <v>1361</v>
      </c>
      <c r="C232" t="str">
        <f>VLOOKUP(B232,[1]rt_remap_detail!$E$3:$F$4082,2,0)</f>
        <v>110-54-3</v>
      </c>
      <c r="D232" t="s">
        <v>1696</v>
      </c>
      <c r="E232" t="s">
        <v>1697</v>
      </c>
    </row>
    <row r="233" spans="1:5" customFormat="1" ht="12.75" hidden="1" x14ac:dyDescent="0.2">
      <c r="A233" s="10" t="s">
        <v>1101</v>
      </c>
      <c r="B233" t="s">
        <v>1390</v>
      </c>
      <c r="C233" t="str">
        <f>VLOOKUP(B233,[1]rt_remap_detail!$E$3:$F$4082,2,0)</f>
        <v>66-25-1</v>
      </c>
      <c r="D233" t="s">
        <v>1696</v>
      </c>
      <c r="E233" t="s">
        <v>1697</v>
      </c>
    </row>
    <row r="234" spans="1:5" customFormat="1" ht="12.75" hidden="1" x14ac:dyDescent="0.2">
      <c r="A234" s="10" t="s">
        <v>1037</v>
      </c>
      <c r="B234" t="s">
        <v>1677</v>
      </c>
      <c r="C234" t="str">
        <f>VLOOKUP(B234,[1]rt_remap_detail!$E$3:$F$4082,2,0)</f>
        <v>121-82-4</v>
      </c>
      <c r="D234" t="s">
        <v>1696</v>
      </c>
      <c r="E234" t="s">
        <v>1697</v>
      </c>
    </row>
    <row r="235" spans="1:5" customFormat="1" ht="12.75" hidden="1" x14ac:dyDescent="0.2">
      <c r="A235" s="9" t="s">
        <v>1058</v>
      </c>
      <c r="B235" t="s">
        <v>1682</v>
      </c>
      <c r="C235" t="str">
        <f>VLOOKUP(B235,[1]rt_remap_detail!$E$3:$F$4082,2,0)</f>
        <v>57-10-3</v>
      </c>
      <c r="D235" t="s">
        <v>1696</v>
      </c>
      <c r="E235" t="s">
        <v>1697</v>
      </c>
    </row>
    <row r="236" spans="1:5" customFormat="1" ht="12.75" hidden="1" x14ac:dyDescent="0.2">
      <c r="A236" s="9" t="s">
        <v>569</v>
      </c>
      <c r="B236" t="s">
        <v>1530</v>
      </c>
      <c r="C236" t="str">
        <f>VLOOKUP(B236,[1]rt_remap_detail!$E$3:$F$4082,2,0)</f>
        <v>1888-71-7</v>
      </c>
      <c r="D236" t="s">
        <v>1696</v>
      </c>
      <c r="E236" t="s">
        <v>1697</v>
      </c>
    </row>
    <row r="237" spans="1:5" customFormat="1" ht="12.75" hidden="1" x14ac:dyDescent="0.2">
      <c r="A237" s="9" t="s">
        <v>1059</v>
      </c>
      <c r="B237" t="s">
        <v>1683</v>
      </c>
      <c r="C237" t="str">
        <f>VLOOKUP(B237,[1]rt_remap_detail!$E$3:$F$4082,2,0)</f>
        <v>70-30-4</v>
      </c>
      <c r="D237" t="s">
        <v>1696</v>
      </c>
      <c r="E237" t="s">
        <v>1697</v>
      </c>
    </row>
    <row r="238" spans="1:5" customFormat="1" ht="12.75" x14ac:dyDescent="0.2">
      <c r="A238" s="9" t="s">
        <v>320</v>
      </c>
      <c r="B238" t="s">
        <v>1276</v>
      </c>
      <c r="C238" t="str">
        <f>VLOOKUP(B238,[1]rt_remap_detail!$E$3:$F$4082,2,0)</f>
        <v>67-72-1</v>
      </c>
      <c r="D238" t="s">
        <v>1696</v>
      </c>
      <c r="E238" t="s">
        <v>1696</v>
      </c>
    </row>
    <row r="239" spans="1:5" customFormat="1" ht="12.75" x14ac:dyDescent="0.2">
      <c r="A239" s="10" t="s">
        <v>308</v>
      </c>
      <c r="B239" t="s">
        <v>1274</v>
      </c>
      <c r="C239" t="str">
        <f>VLOOKUP(B239,[1]rt_remap_detail!$E$3:$F$4082,2,0)</f>
        <v>77-47-4</v>
      </c>
      <c r="D239" t="s">
        <v>1696</v>
      </c>
      <c r="E239" t="s">
        <v>1696</v>
      </c>
    </row>
    <row r="240" spans="1:5" customFormat="1" ht="12.75" x14ac:dyDescent="0.2">
      <c r="A240" s="9" t="s">
        <v>193</v>
      </c>
      <c r="B240" t="s">
        <v>1156</v>
      </c>
      <c r="C240" t="str">
        <f>VLOOKUP(B240,[1]rt_remap_detail!$E$3:$F$4082,2,0)</f>
        <v>87-68-3</v>
      </c>
      <c r="D240" t="s">
        <v>1696</v>
      </c>
      <c r="E240" t="s">
        <v>1696</v>
      </c>
    </row>
    <row r="241" spans="1:5" customFormat="1" ht="12.75" x14ac:dyDescent="0.2">
      <c r="A241" s="10" t="s">
        <v>346</v>
      </c>
      <c r="B241" t="s">
        <v>1275</v>
      </c>
      <c r="C241" t="str">
        <f>VLOOKUP(B241,[1]rt_remap_detail!$E$3:$F$4082,2,0)</f>
        <v>118-74-1</v>
      </c>
      <c r="D241" t="s">
        <v>1696</v>
      </c>
      <c r="E241" t="s">
        <v>1696</v>
      </c>
    </row>
    <row r="242" spans="1:5" customFormat="1" ht="12.75" hidden="1" x14ac:dyDescent="0.2">
      <c r="A242" s="10" t="s">
        <v>989</v>
      </c>
      <c r="B242" t="s">
        <v>1379</v>
      </c>
      <c r="C242" t="e">
        <f>VLOOKUP(B242,[1]rt_remap_detail!$E$3:$F$4082,2,0)</f>
        <v>#N/A</v>
      </c>
      <c r="D242" t="s">
        <v>1696</v>
      </c>
      <c r="E242" t="s">
        <v>1697</v>
      </c>
    </row>
    <row r="243" spans="1:5" customFormat="1" ht="12.75" hidden="1" x14ac:dyDescent="0.2">
      <c r="A243" s="10" t="s">
        <v>936</v>
      </c>
      <c r="B243" t="s">
        <v>1372</v>
      </c>
      <c r="C243" t="e">
        <f>VLOOKUP(B243,[1]rt_remap_detail!$E$3:$F$4082,2,0)</f>
        <v>#N/A</v>
      </c>
      <c r="D243" t="s">
        <v>1696</v>
      </c>
      <c r="E243" t="s">
        <v>1697</v>
      </c>
    </row>
    <row r="244" spans="1:5" customFormat="1" ht="12.75" hidden="1" x14ac:dyDescent="0.2">
      <c r="A244" s="10" t="s">
        <v>221</v>
      </c>
      <c r="B244" t="s">
        <v>1341</v>
      </c>
      <c r="C244" t="str">
        <f>VLOOKUP(B244,[1]rt_remap_detail!$E$3:$F$4082,2,0)</f>
        <v>142-82-5</v>
      </c>
      <c r="D244" t="s">
        <v>1696</v>
      </c>
      <c r="E244" t="s">
        <v>1697</v>
      </c>
    </row>
    <row r="245" spans="1:5" customFormat="1" ht="12.75" hidden="1" x14ac:dyDescent="0.2">
      <c r="A245" s="9" t="s">
        <v>1098</v>
      </c>
      <c r="B245" t="s">
        <v>1692</v>
      </c>
      <c r="C245" t="str">
        <f>VLOOKUP(B245,[1]rt_remap_detail!$E$3:$F$4082,2,0)</f>
        <v>28655-71-2</v>
      </c>
      <c r="D245" t="s">
        <v>1696</v>
      </c>
      <c r="E245" t="s">
        <v>1697</v>
      </c>
    </row>
    <row r="246" spans="1:5" customFormat="1" ht="12.75" x14ac:dyDescent="0.2">
      <c r="A246" s="10" t="s">
        <v>408</v>
      </c>
      <c r="B246" t="s">
        <v>1277</v>
      </c>
      <c r="C246" t="str">
        <f>VLOOKUP(B246,[1]rt_remap_detail!$E$3:$F$4082,2,0)</f>
        <v>1024-57-3</v>
      </c>
      <c r="D246" t="s">
        <v>1696</v>
      </c>
      <c r="E246" t="s">
        <v>1696</v>
      </c>
    </row>
    <row r="247" spans="1:5" customFormat="1" ht="12.75" x14ac:dyDescent="0.2">
      <c r="A247" s="9" t="s">
        <v>406</v>
      </c>
      <c r="B247" t="s">
        <v>1278</v>
      </c>
      <c r="C247" t="str">
        <f>VLOOKUP(B247,[1]rt_remap_detail!$E$3:$F$4082,2,0)</f>
        <v>76-44-8</v>
      </c>
      <c r="D247" t="s">
        <v>1696</v>
      </c>
      <c r="E247" t="s">
        <v>1696</v>
      </c>
    </row>
    <row r="248" spans="1:5" customFormat="1" ht="12.75" x14ac:dyDescent="0.2">
      <c r="A248" s="10" t="s">
        <v>380</v>
      </c>
      <c r="B248" t="s">
        <v>1184</v>
      </c>
      <c r="C248" t="str">
        <f>VLOOKUP(B248,[1]rt_remap_detail!$E$3:$F$4082,2,0)</f>
        <v>7440-59-7</v>
      </c>
      <c r="D248" t="s">
        <v>1696</v>
      </c>
      <c r="E248" t="s">
        <v>1696</v>
      </c>
    </row>
    <row r="249" spans="1:5" customFormat="1" ht="12.75" hidden="1" x14ac:dyDescent="0.2">
      <c r="A249" s="9" t="s">
        <v>473</v>
      </c>
      <c r="B249" t="s">
        <v>1401</v>
      </c>
      <c r="C249" t="str">
        <f>VLOOKUP(B249,[1]rt_remap_detail!$E$3:$F$4082,2,0)</f>
        <v>HARDNESS</v>
      </c>
      <c r="D249" t="s">
        <v>1696</v>
      </c>
      <c r="E249" t="s">
        <v>1697</v>
      </c>
    </row>
    <row r="250" spans="1:5" x14ac:dyDescent="0.25">
      <c r="A250" s="16" t="s">
        <v>829</v>
      </c>
      <c r="B250" s="16" t="s">
        <v>1337</v>
      </c>
      <c r="C250" t="s">
        <v>1725</v>
      </c>
      <c r="D250" t="s">
        <v>1696</v>
      </c>
      <c r="E250" s="16" t="s">
        <v>1696</v>
      </c>
    </row>
    <row r="251" spans="1:5" customFormat="1" ht="12.75" x14ac:dyDescent="0.2">
      <c r="A251" s="15" t="s">
        <v>571</v>
      </c>
      <c r="B251" t="s">
        <v>1703</v>
      </c>
      <c r="C251" t="s">
        <v>1704</v>
      </c>
      <c r="D251" t="s">
        <v>1696</v>
      </c>
      <c r="E251" t="s">
        <v>1696</v>
      </c>
    </row>
    <row r="252" spans="1:5" x14ac:dyDescent="0.25">
      <c r="A252" s="16" t="s">
        <v>673</v>
      </c>
      <c r="B252" s="16" t="s">
        <v>1705</v>
      </c>
      <c r="C252" s="16" t="s">
        <v>1706</v>
      </c>
      <c r="D252" t="s">
        <v>1696</v>
      </c>
      <c r="E252" s="16" t="s">
        <v>1696</v>
      </c>
    </row>
    <row r="253" spans="1:5" customFormat="1" ht="12.75" hidden="1" x14ac:dyDescent="0.2">
      <c r="A253" s="15" t="s">
        <v>416</v>
      </c>
      <c r="B253" t="s">
        <v>1468</v>
      </c>
      <c r="C253" t="str">
        <f>VLOOKUP(B253,[1]rt_remap_detail!$E$3:$F$4082,2,0)</f>
        <v>5566-34-7</v>
      </c>
      <c r="D253" t="s">
        <v>1696</v>
      </c>
      <c r="E253" t="s">
        <v>1697</v>
      </c>
    </row>
    <row r="254" spans="1:5" customFormat="1" ht="12.75" x14ac:dyDescent="0.2">
      <c r="A254" s="9" t="s">
        <v>410</v>
      </c>
      <c r="B254" t="s">
        <v>1213</v>
      </c>
      <c r="C254" t="str">
        <f>VLOOKUP(B254,[1]rt_remap_detail!$E$3:$F$4082,2,0)</f>
        <v>58-89-9</v>
      </c>
      <c r="D254" t="s">
        <v>1696</v>
      </c>
      <c r="E254" t="s">
        <v>1696</v>
      </c>
    </row>
    <row r="255" spans="1:5" customFormat="1" ht="12.75" hidden="1" x14ac:dyDescent="0.2">
      <c r="A255" s="10" t="s">
        <v>776</v>
      </c>
      <c r="B255" t="s">
        <v>1605</v>
      </c>
      <c r="C255" t="str">
        <f>VLOOKUP(B255,[1]rt_remap_detail!$E$3:$F$4082,2,0)</f>
        <v>68553-00-4</v>
      </c>
      <c r="D255" t="s">
        <v>1696</v>
      </c>
      <c r="E255" t="s">
        <v>1697</v>
      </c>
    </row>
    <row r="256" spans="1:5" customFormat="1" ht="12.75" hidden="1" x14ac:dyDescent="0.2">
      <c r="A256" s="9" t="s">
        <v>878</v>
      </c>
      <c r="B256" t="s">
        <v>1627</v>
      </c>
      <c r="C256" t="str">
        <f>VLOOKUP(B256,[1]rt_remap_detail!$E$3:$F$4082,2,0)</f>
        <v>50-00-0</v>
      </c>
      <c r="D256" t="s">
        <v>1696</v>
      </c>
      <c r="E256" t="s">
        <v>1697</v>
      </c>
    </row>
    <row r="257" spans="1:5" customFormat="1" ht="12.75" hidden="1" x14ac:dyDescent="0.2">
      <c r="A257" s="9" t="s">
        <v>622</v>
      </c>
      <c r="B257" t="s">
        <v>1549</v>
      </c>
      <c r="C257" t="str">
        <f>VLOOKUP(B257,[1]rt_remap_detail!$E$3:$F$4082,2,0)</f>
        <v>462-06-6</v>
      </c>
      <c r="D257" t="s">
        <v>1696</v>
      </c>
      <c r="E257" t="s">
        <v>1697</v>
      </c>
    </row>
    <row r="258" spans="1:5" customFormat="1" ht="12.75" hidden="1" x14ac:dyDescent="0.2">
      <c r="A258" s="10" t="s">
        <v>580</v>
      </c>
      <c r="B258" t="s">
        <v>1536</v>
      </c>
      <c r="C258" t="str">
        <f>VLOOKUP(B258,[1]rt_remap_detail!$E$3:$F$4082,2,0)</f>
        <v>16984-48-8</v>
      </c>
      <c r="D258" t="s">
        <v>1696</v>
      </c>
      <c r="E258" t="s">
        <v>1697</v>
      </c>
    </row>
    <row r="259" spans="1:5" customFormat="1" ht="12.75" x14ac:dyDescent="0.2">
      <c r="A259" s="10" t="s">
        <v>344</v>
      </c>
      <c r="B259" t="s">
        <v>1272</v>
      </c>
      <c r="C259" t="str">
        <f>VLOOKUP(B259,[1]rt_remap_detail!$E$3:$F$4082,2,0)</f>
        <v>86-73-7</v>
      </c>
      <c r="D259" t="s">
        <v>1696</v>
      </c>
      <c r="E259" t="s">
        <v>1696</v>
      </c>
    </row>
    <row r="260" spans="1:5" customFormat="1" ht="12.75" x14ac:dyDescent="0.2">
      <c r="A260" s="9" t="s">
        <v>328</v>
      </c>
      <c r="B260" t="s">
        <v>1273</v>
      </c>
      <c r="C260" t="str">
        <f>VLOOKUP(B260,[1]rt_remap_detail!$E$3:$F$4082,2,0)</f>
        <v>206-44-0</v>
      </c>
      <c r="D260" t="s">
        <v>1696</v>
      </c>
      <c r="E260" t="s">
        <v>1696</v>
      </c>
    </row>
    <row r="261" spans="1:5" customFormat="1" ht="12.75" hidden="1" x14ac:dyDescent="0.2">
      <c r="A261" s="10" t="s">
        <v>818</v>
      </c>
      <c r="B261" t="s">
        <v>1363</v>
      </c>
      <c r="C261" t="str">
        <f>VLOOKUP(B261,[1]rt_remap_detail!$E$3:$F$4082,2,0)</f>
        <v>FLASHPT</v>
      </c>
      <c r="D261" t="s">
        <v>1696</v>
      </c>
      <c r="E261" t="s">
        <v>1697</v>
      </c>
    </row>
    <row r="262" spans="1:5" customFormat="1" ht="12.75" x14ac:dyDescent="0.2">
      <c r="A262" s="9" t="s">
        <v>398</v>
      </c>
      <c r="B262" t="s">
        <v>1707</v>
      </c>
      <c r="C262" t="s">
        <v>1708</v>
      </c>
      <c r="D262" t="s">
        <v>1696</v>
      </c>
      <c r="E262" t="s">
        <v>1696</v>
      </c>
    </row>
    <row r="263" spans="1:5" customFormat="1" ht="12.75" x14ac:dyDescent="0.2">
      <c r="A263" s="10" t="s">
        <v>900</v>
      </c>
      <c r="B263" t="s">
        <v>1271</v>
      </c>
      <c r="C263" t="str">
        <f>VLOOKUP(B263,[1]rt_remap_detail!$E$3:$F$4082,2,0)</f>
        <v>55-38-9</v>
      </c>
      <c r="D263" t="s">
        <v>1696</v>
      </c>
      <c r="E263" t="s">
        <v>1696</v>
      </c>
    </row>
    <row r="264" spans="1:5" customFormat="1" ht="12.75" x14ac:dyDescent="0.2">
      <c r="A264" s="10" t="s">
        <v>422</v>
      </c>
      <c r="B264" t="s">
        <v>1270</v>
      </c>
      <c r="C264" t="str">
        <f>VLOOKUP(B264,[1]rt_remap_detail!$E$3:$F$4082,2,0)</f>
        <v>115-90-2</v>
      </c>
      <c r="D264" t="s">
        <v>1696</v>
      </c>
      <c r="E264" t="s">
        <v>1696</v>
      </c>
    </row>
    <row r="265" spans="1:5" customFormat="1" ht="12.75" hidden="1" x14ac:dyDescent="0.2">
      <c r="A265" s="9" t="s">
        <v>871</v>
      </c>
      <c r="B265" t="s">
        <v>1625</v>
      </c>
      <c r="C265" t="str">
        <f>VLOOKUP(B265,[1]rt_remap_detail!$E$3:$F$4082,2,0)</f>
        <v>FCOLI</v>
      </c>
      <c r="D265" t="s">
        <v>1696</v>
      </c>
      <c r="E265" t="s">
        <v>1697</v>
      </c>
    </row>
    <row r="266" spans="1:5" customFormat="1" ht="12.75" hidden="1" x14ac:dyDescent="0.2">
      <c r="A266" s="10" t="s">
        <v>559</v>
      </c>
      <c r="B266" t="s">
        <v>1525</v>
      </c>
      <c r="C266" t="str">
        <f>VLOOKUP(B266,[1]rt_remap_detail!$E$3:$F$4082,2,0)</f>
        <v>52-85-7</v>
      </c>
      <c r="D266" t="s">
        <v>1696</v>
      </c>
      <c r="E266" t="s">
        <v>1697</v>
      </c>
    </row>
    <row r="267" spans="1:5" customFormat="1" ht="12.75" hidden="1" x14ac:dyDescent="0.2">
      <c r="A267" s="9" t="s">
        <v>1055</v>
      </c>
      <c r="B267" t="s">
        <v>1388</v>
      </c>
      <c r="C267" t="e">
        <f>VLOOKUP(B267,[1]rt_remap_detail!$E$3:$F$4082,2,0)</f>
        <v>#N/A</v>
      </c>
      <c r="D267" t="s">
        <v>1696</v>
      </c>
      <c r="E267" t="s">
        <v>1697</v>
      </c>
    </row>
    <row r="268" spans="1:5" customFormat="1" ht="12.75" x14ac:dyDescent="0.2">
      <c r="A268" s="10" t="s">
        <v>191</v>
      </c>
      <c r="B268" t="s">
        <v>1110</v>
      </c>
      <c r="C268" t="str">
        <f>VLOOKUP(B268,[1]rt_remap_detail!$E$3:$F$4082,2,0)</f>
        <v>100-41-4</v>
      </c>
      <c r="D268" t="s">
        <v>1696</v>
      </c>
      <c r="E268" t="s">
        <v>1696</v>
      </c>
    </row>
    <row r="269" spans="1:5" customFormat="1" ht="12.75" x14ac:dyDescent="0.2">
      <c r="A269" s="9" t="s">
        <v>248</v>
      </c>
      <c r="B269" t="s">
        <v>1151</v>
      </c>
      <c r="C269" t="str">
        <f>VLOOKUP(B269,[1]rt_remap_detail!$E$3:$F$4082,2,0)</f>
        <v>637-92-3</v>
      </c>
      <c r="D269" t="s">
        <v>1696</v>
      </c>
      <c r="E269" t="s">
        <v>1696</v>
      </c>
    </row>
    <row r="270" spans="1:5" customFormat="1" ht="12.75" hidden="1" x14ac:dyDescent="0.2">
      <c r="A270" s="9" t="s">
        <v>501</v>
      </c>
      <c r="B270" t="s">
        <v>1502</v>
      </c>
      <c r="C270" t="str">
        <f>VLOOKUP(B270,[1]rt_remap_detail!$E$3:$F$4082,2,0)</f>
        <v>62-50-0</v>
      </c>
      <c r="D270" t="s">
        <v>1696</v>
      </c>
      <c r="E270" t="s">
        <v>1697</v>
      </c>
    </row>
    <row r="271" spans="1:5" customFormat="1" ht="12.75" hidden="1" x14ac:dyDescent="0.2">
      <c r="A271" s="9" t="s">
        <v>438</v>
      </c>
      <c r="B271" t="s">
        <v>1475</v>
      </c>
      <c r="C271" t="str">
        <f>VLOOKUP(B271,[1]rt_remap_detail!$E$3:$F$4082,2,0)</f>
        <v>97-63-2</v>
      </c>
      <c r="D271" t="s">
        <v>1696</v>
      </c>
      <c r="E271" t="s">
        <v>1697</v>
      </c>
    </row>
    <row r="272" spans="1:5" customFormat="1" ht="12.75" hidden="1" x14ac:dyDescent="0.2">
      <c r="A272" s="9" t="s">
        <v>919</v>
      </c>
      <c r="B272" t="s">
        <v>1369</v>
      </c>
      <c r="C272" t="e">
        <f>VLOOKUP(B272,[1]rt_remap_detail!$E$3:$F$4082,2,0)</f>
        <v>#N/A</v>
      </c>
      <c r="D272" t="s">
        <v>1696</v>
      </c>
      <c r="E272" t="s">
        <v>1697</v>
      </c>
    </row>
    <row r="273" spans="1:5" customFormat="1" ht="12.75" hidden="1" x14ac:dyDescent="0.2">
      <c r="A273" s="9" t="s">
        <v>378</v>
      </c>
      <c r="B273" t="s">
        <v>1459</v>
      </c>
      <c r="C273" t="str">
        <f>VLOOKUP(B273,[1]rt_remap_detail!$E$3:$F$4082,2,0)</f>
        <v>141-78-6</v>
      </c>
      <c r="D273" t="s">
        <v>1696</v>
      </c>
      <c r="E273" t="s">
        <v>1697</v>
      </c>
    </row>
    <row r="274" spans="1:5" customFormat="1" ht="12.75" x14ac:dyDescent="0.2">
      <c r="A274" s="10" t="s">
        <v>542</v>
      </c>
      <c r="B274" t="s">
        <v>1269</v>
      </c>
      <c r="C274" t="str">
        <f>VLOOKUP(B274,[1]rt_remap_detail!$E$3:$F$4082,2,0)</f>
        <v>13194-48-4</v>
      </c>
      <c r="D274" t="s">
        <v>1696</v>
      </c>
      <c r="E274" t="s">
        <v>1696</v>
      </c>
    </row>
    <row r="275" spans="1:5" customFormat="1" ht="12.75" hidden="1" x14ac:dyDescent="0.2">
      <c r="A275" s="10" t="s">
        <v>927</v>
      </c>
      <c r="B275" t="s">
        <v>1649</v>
      </c>
      <c r="C275" t="str">
        <f>VLOOKUP(B275,[1]rt_remap_detail!$E$3:$F$4082,2,0)</f>
        <v>563-12-2</v>
      </c>
      <c r="D275" t="s">
        <v>1696</v>
      </c>
      <c r="E275" t="s">
        <v>1697</v>
      </c>
    </row>
    <row r="276" spans="1:5" customFormat="1" ht="12.75" x14ac:dyDescent="0.2">
      <c r="A276" s="10" t="s">
        <v>214</v>
      </c>
      <c r="B276" t="s">
        <v>1152</v>
      </c>
      <c r="C276" t="str">
        <f>VLOOKUP(B276,[1]rt_remap_detail!$E$3:$F$4082,2,0)</f>
        <v>64-17-5</v>
      </c>
      <c r="D276" t="s">
        <v>1696</v>
      </c>
      <c r="E276" t="s">
        <v>1696</v>
      </c>
    </row>
    <row r="277" spans="1:5" customFormat="1" ht="12.75" hidden="1" x14ac:dyDescent="0.2">
      <c r="A277" s="10" t="s">
        <v>264</v>
      </c>
      <c r="B277" t="s">
        <v>1425</v>
      </c>
      <c r="C277" t="str">
        <f>VLOOKUP(B277,[1]rt_remap_detail!$E$3:$F$4082,2,0)</f>
        <v>74-84-0</v>
      </c>
      <c r="D277" t="s">
        <v>1696</v>
      </c>
      <c r="E277" t="s">
        <v>1697</v>
      </c>
    </row>
    <row r="278" spans="1:5" customFormat="1" ht="12.75" hidden="1" x14ac:dyDescent="0.2">
      <c r="A278" s="10" t="s">
        <v>629</v>
      </c>
      <c r="B278" t="s">
        <v>1551</v>
      </c>
      <c r="C278" t="str">
        <f>VLOOKUP(B278,[1]rt_remap_detail!$E$3:$F$4082,2,0)</f>
        <v>2104-64-5</v>
      </c>
      <c r="D278" t="s">
        <v>1696</v>
      </c>
      <c r="E278" t="s">
        <v>1697</v>
      </c>
    </row>
    <row r="279" spans="1:5" customFormat="1" ht="12.75" x14ac:dyDescent="0.2">
      <c r="A279" s="9" t="s">
        <v>641</v>
      </c>
      <c r="B279" t="s">
        <v>1268</v>
      </c>
      <c r="C279" t="str">
        <f>VLOOKUP(B279,[1]rt_remap_detail!$E$3:$F$4082,2,0)</f>
        <v>53494-70-5</v>
      </c>
      <c r="D279" t="s">
        <v>1696</v>
      </c>
      <c r="E279" t="s">
        <v>1696</v>
      </c>
    </row>
    <row r="280" spans="1:5" customFormat="1" ht="12.75" x14ac:dyDescent="0.2">
      <c r="A280" s="10" t="s">
        <v>413</v>
      </c>
      <c r="B280" t="s">
        <v>1267</v>
      </c>
      <c r="C280" t="str">
        <f>VLOOKUP(B280,[1]rt_remap_detail!$E$3:$F$4082,2,0)</f>
        <v>7421-93-4</v>
      </c>
      <c r="D280" t="s">
        <v>1696</v>
      </c>
      <c r="E280" t="s">
        <v>1696</v>
      </c>
    </row>
    <row r="281" spans="1:5" customFormat="1" ht="12.75" x14ac:dyDescent="0.2">
      <c r="A281" s="9" t="s">
        <v>403</v>
      </c>
      <c r="B281" t="s">
        <v>1266</v>
      </c>
      <c r="C281" t="str">
        <f>VLOOKUP(B281,[1]rt_remap_detail!$E$3:$F$4082,2,0)</f>
        <v>72-20-8</v>
      </c>
      <c r="D281" t="s">
        <v>1696</v>
      </c>
      <c r="E281" t="s">
        <v>1696</v>
      </c>
    </row>
    <row r="282" spans="1:5" customFormat="1" ht="12.75" x14ac:dyDescent="0.2">
      <c r="A282" s="10" t="s">
        <v>401</v>
      </c>
      <c r="B282" t="s">
        <v>1265</v>
      </c>
      <c r="C282" t="str">
        <f>VLOOKUP(B282,[1]rt_remap_detail!$E$3:$F$4082,2,0)</f>
        <v>1031-07-8</v>
      </c>
      <c r="D282" t="s">
        <v>1696</v>
      </c>
      <c r="E282" t="s">
        <v>1696</v>
      </c>
    </row>
    <row r="283" spans="1:5" customFormat="1" ht="12.75" x14ac:dyDescent="0.2">
      <c r="A283" s="9" t="s">
        <v>415</v>
      </c>
      <c r="B283" t="s">
        <v>1264</v>
      </c>
      <c r="C283" t="str">
        <f>VLOOKUP(B283,[1]rt_remap_detail!$E$3:$F$4082,2,0)</f>
        <v>33213-65-9</v>
      </c>
      <c r="D283" t="s">
        <v>1696</v>
      </c>
      <c r="E283" t="s">
        <v>1696</v>
      </c>
    </row>
    <row r="284" spans="1:5" customFormat="1" ht="12.75" x14ac:dyDescent="0.2">
      <c r="A284" s="9" t="s">
        <v>409</v>
      </c>
      <c r="B284" t="s">
        <v>1263</v>
      </c>
      <c r="C284" t="str">
        <f>VLOOKUP(B284,[1]rt_remap_detail!$E$3:$F$4082,2,0)</f>
        <v>959-98-8</v>
      </c>
      <c r="D284" t="s">
        <v>1696</v>
      </c>
      <c r="E284" t="s">
        <v>1696</v>
      </c>
    </row>
    <row r="285" spans="1:5" customFormat="1" ht="12.75" hidden="1" x14ac:dyDescent="0.2">
      <c r="A285" s="9" t="s">
        <v>963</v>
      </c>
      <c r="B285" t="s">
        <v>1375</v>
      </c>
      <c r="C285" t="e">
        <f>VLOOKUP(B285,[1]rt_remap_detail!$E$3:$F$4082,2,0)</f>
        <v>#N/A</v>
      </c>
      <c r="D285" t="s">
        <v>1696</v>
      </c>
      <c r="E285" t="s">
        <v>1697</v>
      </c>
    </row>
    <row r="286" spans="1:5" customFormat="1" ht="12.75" hidden="1" x14ac:dyDescent="0.2">
      <c r="A286" s="10" t="s">
        <v>956</v>
      </c>
      <c r="B286" t="s">
        <v>1406</v>
      </c>
      <c r="C286" t="str">
        <f>VLOOKUP(B286,[1]rt_remap_detail!$E$3:$F$4082,2,0)</f>
        <v>112-40-3</v>
      </c>
      <c r="D286" t="s">
        <v>1696</v>
      </c>
      <c r="E286" t="s">
        <v>1697</v>
      </c>
    </row>
    <row r="287" spans="1:5" customFormat="1" ht="12.75" x14ac:dyDescent="0.2">
      <c r="A287" s="9" t="s">
        <v>421</v>
      </c>
      <c r="B287" t="s">
        <v>1254</v>
      </c>
      <c r="C287" t="str">
        <f>VLOOKUP(B287,[1]rt_remap_detail!$E$3:$F$4082,2,0)</f>
        <v>298-04-4</v>
      </c>
      <c r="D287" t="s">
        <v>1696</v>
      </c>
      <c r="E287" t="s">
        <v>1696</v>
      </c>
    </row>
    <row r="288" spans="1:5" customFormat="1" ht="12.75" hidden="1" x14ac:dyDescent="0.2">
      <c r="A288" s="10" t="s">
        <v>423</v>
      </c>
      <c r="B288" t="s">
        <v>1398</v>
      </c>
      <c r="C288" t="str">
        <f>VLOOKUP(B288,[1]rt_remap_detail!$E$3:$F$4082,2,0)</f>
        <v>DOC</v>
      </c>
      <c r="D288" t="s">
        <v>1696</v>
      </c>
      <c r="E288" t="s">
        <v>1697</v>
      </c>
    </row>
    <row r="289" spans="1:5" customFormat="1" ht="12.75" hidden="1" x14ac:dyDescent="0.2">
      <c r="A289" s="10" t="s">
        <v>824</v>
      </c>
      <c r="B289" t="s">
        <v>1364</v>
      </c>
      <c r="C289" t="e">
        <f>VLOOKUP(B289,[1]rt_remap_detail!$E$3:$F$4082,2,0)</f>
        <v>#N/A</v>
      </c>
      <c r="D289" t="s">
        <v>1696</v>
      </c>
      <c r="E289" t="s">
        <v>1697</v>
      </c>
    </row>
    <row r="290" spans="1:5" customFormat="1" ht="12.75" hidden="1" x14ac:dyDescent="0.2">
      <c r="A290" s="10" t="s">
        <v>583</v>
      </c>
      <c r="B290" t="s">
        <v>1538</v>
      </c>
      <c r="C290" t="str">
        <f>VLOOKUP(B290,[1]rt_remap_detail!$E$3:$F$4082,2,0)</f>
        <v>122-39-4</v>
      </c>
      <c r="D290" t="s">
        <v>1696</v>
      </c>
      <c r="E290" t="s">
        <v>1697</v>
      </c>
    </row>
    <row r="291" spans="1:5" customFormat="1" ht="12.75" hidden="1" x14ac:dyDescent="0.2">
      <c r="A291" s="10" t="s">
        <v>433</v>
      </c>
      <c r="B291" t="s">
        <v>1472</v>
      </c>
      <c r="C291" t="str">
        <f>VLOOKUP(B291,[1]rt_remap_detail!$E$3:$F$4082,2,0)</f>
        <v>88-85-7</v>
      </c>
      <c r="D291" t="s">
        <v>1696</v>
      </c>
      <c r="E291" t="s">
        <v>1697</v>
      </c>
    </row>
    <row r="292" spans="1:5" customFormat="1" ht="12.75" x14ac:dyDescent="0.2">
      <c r="A292" s="10" t="s">
        <v>319</v>
      </c>
      <c r="B292" t="s">
        <v>1259</v>
      </c>
      <c r="C292" t="str">
        <f>VLOOKUP(B292,[1]rt_remap_detail!$E$3:$F$4082,2,0)</f>
        <v>117-84-0</v>
      </c>
      <c r="D292" t="s">
        <v>1696</v>
      </c>
      <c r="E292" t="s">
        <v>1696</v>
      </c>
    </row>
    <row r="293" spans="1:5" customFormat="1" ht="12.75" x14ac:dyDescent="0.2">
      <c r="A293" s="10" t="s">
        <v>333</v>
      </c>
      <c r="B293" t="s">
        <v>1258</v>
      </c>
      <c r="C293" t="str">
        <f>VLOOKUP(B293,[1]rt_remap_detail!$E$3:$F$4082,2,0)</f>
        <v>84-74-2</v>
      </c>
      <c r="D293" t="s">
        <v>1696</v>
      </c>
      <c r="E293" t="s">
        <v>1696</v>
      </c>
    </row>
    <row r="294" spans="1:5" customFormat="1" ht="12.75" x14ac:dyDescent="0.2">
      <c r="A294" s="10" t="s">
        <v>342</v>
      </c>
      <c r="B294" t="s">
        <v>1256</v>
      </c>
      <c r="C294" t="str">
        <f>VLOOKUP(B294,[1]rt_remap_detail!$E$3:$F$4082,2,0)</f>
        <v>131-11-3</v>
      </c>
      <c r="D294" t="s">
        <v>1696</v>
      </c>
      <c r="E294" t="s">
        <v>1696</v>
      </c>
    </row>
    <row r="295" spans="1:5" customFormat="1" ht="12.75" hidden="1" x14ac:dyDescent="0.2">
      <c r="A295" s="9" t="s">
        <v>545</v>
      </c>
      <c r="B295" t="s">
        <v>1520</v>
      </c>
      <c r="C295" t="str">
        <f>VLOOKUP(B295,[1]rt_remap_detail!$E$3:$F$4082,2,0)</f>
        <v>60-51-5</v>
      </c>
      <c r="D295" t="s">
        <v>1696</v>
      </c>
      <c r="E295" t="s">
        <v>1697</v>
      </c>
    </row>
    <row r="296" spans="1:5" customFormat="1" ht="12.75" x14ac:dyDescent="0.2">
      <c r="A296" s="10" t="s">
        <v>197</v>
      </c>
      <c r="B296" t="s">
        <v>1149</v>
      </c>
      <c r="C296" t="str">
        <f>VLOOKUP(B296,[1]rt_remap_detail!$E$3:$F$4082,2,0)</f>
        <v>108-20-3</v>
      </c>
      <c r="D296" t="s">
        <v>1696</v>
      </c>
      <c r="E296" t="s">
        <v>1696</v>
      </c>
    </row>
    <row r="297" spans="1:5" customFormat="1" ht="12.75" x14ac:dyDescent="0.2">
      <c r="A297" s="10" t="s">
        <v>311</v>
      </c>
      <c r="B297" t="s">
        <v>1250</v>
      </c>
      <c r="C297" t="str">
        <f>VLOOKUP(B297,[1]rt_remap_detail!$E$3:$F$4082,2,0)</f>
        <v>84-66-2</v>
      </c>
      <c r="D297" t="s">
        <v>1696</v>
      </c>
      <c r="E297" t="s">
        <v>1696</v>
      </c>
    </row>
    <row r="298" spans="1:5" customFormat="1" ht="12.75" hidden="1" x14ac:dyDescent="0.2">
      <c r="A298" s="9" t="s">
        <v>443</v>
      </c>
      <c r="B298" t="s">
        <v>1477</v>
      </c>
      <c r="C298" t="str">
        <f>VLOOKUP(B298,[1]rt_remap_detail!$E$3:$F$4082,2,0)</f>
        <v>60-29-7</v>
      </c>
      <c r="D298" t="s">
        <v>1696</v>
      </c>
      <c r="E298" t="s">
        <v>1697</v>
      </c>
    </row>
    <row r="299" spans="1:5" customFormat="1" ht="12.75" hidden="1" x14ac:dyDescent="0.2">
      <c r="A299" s="10" t="s">
        <v>986</v>
      </c>
      <c r="B299" t="s">
        <v>1662</v>
      </c>
      <c r="C299" t="str">
        <f>VLOOKUP(B299,[1]rt_remap_detail!$E$3:$F$4082,2,0)</f>
        <v>TPH-DRO</v>
      </c>
      <c r="D299" t="s">
        <v>1696</v>
      </c>
      <c r="E299" t="s">
        <v>1697</v>
      </c>
    </row>
    <row r="300" spans="1:5" customFormat="1" ht="12.75" hidden="1" x14ac:dyDescent="0.2">
      <c r="A300" s="9" t="s">
        <v>714</v>
      </c>
      <c r="B300" t="s">
        <v>1358</v>
      </c>
      <c r="C300" t="e">
        <f>VLOOKUP(B300,[1]rt_remap_detail!$E$3:$F$4082,2,0)</f>
        <v>#N/A</v>
      </c>
      <c r="D300" t="s">
        <v>1696</v>
      </c>
      <c r="E300" t="s">
        <v>1697</v>
      </c>
    </row>
    <row r="301" spans="1:5" customFormat="1" ht="12.75" x14ac:dyDescent="0.2">
      <c r="A301" s="9" t="s">
        <v>283</v>
      </c>
      <c r="B301" t="s">
        <v>1253</v>
      </c>
      <c r="C301" t="str">
        <f>VLOOKUP(B301,[1]rt_remap_detail!$E$3:$F$4082,2,0)</f>
        <v>60-57-1</v>
      </c>
      <c r="D301" t="s">
        <v>1696</v>
      </c>
      <c r="E301" t="s">
        <v>1696</v>
      </c>
    </row>
    <row r="302" spans="1:5" customFormat="1" ht="12.75" hidden="1" x14ac:dyDescent="0.2">
      <c r="A302" s="9" t="s">
        <v>630</v>
      </c>
      <c r="B302" t="s">
        <v>1552</v>
      </c>
      <c r="C302" t="str">
        <f>VLOOKUP(B302,[1]rt_remap_detail!$E$3:$F$4082,2,0)</f>
        <v>115-32-2</v>
      </c>
      <c r="D302" t="s">
        <v>1696</v>
      </c>
      <c r="E302" t="s">
        <v>1697</v>
      </c>
    </row>
    <row r="303" spans="1:5" customFormat="1" ht="12.75" hidden="1" x14ac:dyDescent="0.2">
      <c r="A303" s="9" t="s">
        <v>635</v>
      </c>
      <c r="B303" t="s">
        <v>1554</v>
      </c>
      <c r="C303" t="str">
        <f>VLOOKUP(B303,[1]rt_remap_detail!$E$3:$F$4082,2,0)</f>
        <v>120-36-5</v>
      </c>
      <c r="D303" t="s">
        <v>1696</v>
      </c>
      <c r="E303" t="s">
        <v>1697</v>
      </c>
    </row>
    <row r="304" spans="1:5" customFormat="1" ht="12.75" x14ac:dyDescent="0.2">
      <c r="A304" s="10" t="s">
        <v>631</v>
      </c>
      <c r="B304" t="s">
        <v>1252</v>
      </c>
      <c r="C304" t="str">
        <f>VLOOKUP(B304,[1]rt_remap_detail!$E$3:$F$4082,2,0)</f>
        <v>62-73-7</v>
      </c>
      <c r="D304" t="s">
        <v>1696</v>
      </c>
      <c r="E304" t="s">
        <v>1696</v>
      </c>
    </row>
    <row r="305" spans="1:5" customFormat="1" ht="12.75" hidden="1" x14ac:dyDescent="0.2">
      <c r="A305" s="10" t="s">
        <v>269</v>
      </c>
      <c r="B305" t="s">
        <v>1427</v>
      </c>
      <c r="C305" t="str">
        <f>VLOOKUP(B305,[1]rt_remap_detail!$E$3:$F$4082,2,0)</f>
        <v>75-43-4</v>
      </c>
      <c r="D305" t="s">
        <v>1696</v>
      </c>
      <c r="E305" t="s">
        <v>1697</v>
      </c>
    </row>
    <row r="306" spans="1:5" customFormat="1" ht="12.75" x14ac:dyDescent="0.2">
      <c r="A306" s="10" t="s">
        <v>225</v>
      </c>
      <c r="B306" t="s">
        <v>1155</v>
      </c>
      <c r="C306" t="str">
        <f>VLOOKUP(B306,[1]rt_remap_detail!$E$3:$F$4082,2,0)</f>
        <v>75-71-8</v>
      </c>
      <c r="D306" t="s">
        <v>1696</v>
      </c>
      <c r="E306" t="s">
        <v>1696</v>
      </c>
    </row>
    <row r="307" spans="1:5" customFormat="1" ht="12.75" hidden="1" x14ac:dyDescent="0.2">
      <c r="A307" s="10" t="s">
        <v>894</v>
      </c>
      <c r="B307" t="s">
        <v>1630</v>
      </c>
      <c r="C307" t="str">
        <f>VLOOKUP(B307,[1]rt_remap_detail!$E$3:$F$4082,2,0)</f>
        <v>79-43-6</v>
      </c>
      <c r="D307" t="s">
        <v>1696</v>
      </c>
      <c r="E307" t="s">
        <v>1697</v>
      </c>
    </row>
    <row r="308" spans="1:5" customFormat="1" ht="12.75" hidden="1" x14ac:dyDescent="0.2">
      <c r="A308" s="9" t="s">
        <v>600</v>
      </c>
      <c r="B308" t="s">
        <v>1541</v>
      </c>
      <c r="C308" t="str">
        <f>VLOOKUP(B308,[1]rt_remap_detail!$E$3:$F$4082,2,0)</f>
        <v>1918-00-9</v>
      </c>
      <c r="D308" t="s">
        <v>1696</v>
      </c>
      <c r="E308" t="s">
        <v>1697</v>
      </c>
    </row>
    <row r="309" spans="1:5" customFormat="1" ht="12.75" x14ac:dyDescent="0.2">
      <c r="A309" s="9" t="s">
        <v>247</v>
      </c>
      <c r="B309" t="s">
        <v>1134</v>
      </c>
      <c r="C309" t="str">
        <f>VLOOKUP(B309,[1]rt_remap_detail!$E$3:$F$4082,2,0)</f>
        <v>74-95-3</v>
      </c>
      <c r="D309" t="s">
        <v>1696</v>
      </c>
      <c r="E309" t="s">
        <v>1696</v>
      </c>
    </row>
    <row r="310" spans="1:5" customFormat="1" ht="12.75" x14ac:dyDescent="0.2">
      <c r="A310" s="9" t="s">
        <v>1062</v>
      </c>
      <c r="B310" t="s">
        <v>1133</v>
      </c>
      <c r="C310" t="str">
        <f>VLOOKUP(B310,[1]rt_remap_detail!$E$3:$F$4082,2,0)</f>
        <v>1868-53-7</v>
      </c>
      <c r="D310" t="s">
        <v>1696</v>
      </c>
      <c r="E310" t="s">
        <v>1696</v>
      </c>
    </row>
    <row r="311" spans="1:5" customFormat="1" ht="12.75" x14ac:dyDescent="0.2">
      <c r="A311" s="9" t="s">
        <v>181</v>
      </c>
      <c r="B311" t="s">
        <v>1131</v>
      </c>
      <c r="C311" t="s">
        <v>1709</v>
      </c>
      <c r="D311" t="s">
        <v>1696</v>
      </c>
      <c r="E311" t="s">
        <v>1696</v>
      </c>
    </row>
    <row r="312" spans="1:5" customFormat="1" ht="12.75" x14ac:dyDescent="0.2">
      <c r="A312" s="10" t="s">
        <v>312</v>
      </c>
      <c r="B312" t="s">
        <v>1243</v>
      </c>
      <c r="C312" t="str">
        <f>VLOOKUP(B312,[1]rt_remap_detail!$E$3:$F$4082,2,0)</f>
        <v>132-64-9</v>
      </c>
      <c r="D312" t="s">
        <v>1696</v>
      </c>
      <c r="E312" t="s">
        <v>1696</v>
      </c>
    </row>
    <row r="313" spans="1:5" customFormat="1" ht="12.75" x14ac:dyDescent="0.2">
      <c r="A313" s="9" t="s">
        <v>288</v>
      </c>
      <c r="B313" t="s">
        <v>1242</v>
      </c>
      <c r="C313" t="str">
        <f>VLOOKUP(B313,[1]rt_remap_detail!$E$3:$F$4082,2,0)</f>
        <v>53-70-3</v>
      </c>
      <c r="D313" t="s">
        <v>1696</v>
      </c>
      <c r="E313" t="s">
        <v>1696</v>
      </c>
    </row>
    <row r="314" spans="1:5" customFormat="1" ht="12.75" hidden="1" x14ac:dyDescent="0.2">
      <c r="A314" s="9" t="s">
        <v>1024</v>
      </c>
      <c r="B314" t="s">
        <v>1672</v>
      </c>
      <c r="C314" t="str">
        <f>VLOOKUP(B314,[1]rt_remap_detail!$E$3:$F$4082,2,0)</f>
        <v>226-36-8</v>
      </c>
      <c r="D314" t="s">
        <v>1696</v>
      </c>
      <c r="E314" t="s">
        <v>1697</v>
      </c>
    </row>
    <row r="315" spans="1:5" customFormat="1" ht="12.75" x14ac:dyDescent="0.2">
      <c r="A315" s="10" t="s">
        <v>475</v>
      </c>
      <c r="B315" t="s">
        <v>1251</v>
      </c>
      <c r="C315" t="str">
        <f>VLOOKUP(B315,[1]rt_remap_detail!$E$3:$F$4082,2,0)</f>
        <v>333-41-5</v>
      </c>
      <c r="D315" t="s">
        <v>1696</v>
      </c>
      <c r="E315" t="s">
        <v>1696</v>
      </c>
    </row>
    <row r="316" spans="1:5" customFormat="1" ht="12.75" hidden="1" x14ac:dyDescent="0.2">
      <c r="A316" s="10" t="s">
        <v>537</v>
      </c>
      <c r="B316" t="s">
        <v>1516</v>
      </c>
      <c r="C316" t="str">
        <f>VLOOKUP(B316,[1]rt_remap_detail!$E$3:$F$4082,2,0)</f>
        <v>2303-16-4</v>
      </c>
      <c r="D316" t="s">
        <v>1696</v>
      </c>
      <c r="E316" t="s">
        <v>1697</v>
      </c>
    </row>
    <row r="317" spans="1:5" customFormat="1" ht="12.75" hidden="1" x14ac:dyDescent="0.2">
      <c r="A317" s="10" t="s">
        <v>619</v>
      </c>
      <c r="B317" t="s">
        <v>1548</v>
      </c>
      <c r="C317" t="str">
        <f>VLOOKUP(B317,[1]rt_remap_detail!$E$3:$F$4082,2,0)</f>
        <v>126-75-0</v>
      </c>
      <c r="D317" t="s">
        <v>1696</v>
      </c>
      <c r="E317" t="s">
        <v>1697</v>
      </c>
    </row>
    <row r="318" spans="1:5" customFormat="1" ht="12.75" hidden="1" x14ac:dyDescent="0.2">
      <c r="A318" s="10" t="s">
        <v>910</v>
      </c>
      <c r="B318" t="s">
        <v>1639</v>
      </c>
      <c r="C318" t="str">
        <f>VLOOKUP(B318,[1]rt_remap_detail!$E$3:$F$4082,2,0)</f>
        <v>298-03-3</v>
      </c>
      <c r="D318" t="s">
        <v>1696</v>
      </c>
      <c r="E318" t="s">
        <v>1697</v>
      </c>
    </row>
    <row r="319" spans="1:5" customFormat="1" ht="12.75" x14ac:dyDescent="0.2">
      <c r="A319" s="9" t="s">
        <v>587</v>
      </c>
      <c r="B319" t="s">
        <v>1249</v>
      </c>
      <c r="C319" t="str">
        <f>VLOOKUP(B319,[1]rt_remap_detail!$E$3:$F$4082,2,0)</f>
        <v>8065-48-3</v>
      </c>
      <c r="D319" t="s">
        <v>1696</v>
      </c>
      <c r="E319" t="s">
        <v>1696</v>
      </c>
    </row>
    <row r="320" spans="1:5" customFormat="1" ht="12.75" x14ac:dyDescent="0.2">
      <c r="A320" s="10" t="s">
        <v>411</v>
      </c>
      <c r="B320" t="s">
        <v>1212</v>
      </c>
      <c r="C320" t="str">
        <f>VLOOKUP(B320,[1]rt_remap_detail!$E$3:$F$4082,2,0)</f>
        <v>319-86-8</v>
      </c>
      <c r="D320" t="s">
        <v>1696</v>
      </c>
      <c r="E320" t="s">
        <v>1696</v>
      </c>
    </row>
    <row r="321" spans="1:5" customFormat="1" ht="12.75" hidden="1" x14ac:dyDescent="0.2">
      <c r="A321" s="9" t="s">
        <v>973</v>
      </c>
      <c r="B321" t="s">
        <v>1377</v>
      </c>
      <c r="C321" t="str">
        <f>VLOOKUP(B321,[1]rt_remap_detail!$E$3:$F$4082,2,0)</f>
        <v>334-48-5</v>
      </c>
      <c r="D321" t="s">
        <v>1696</v>
      </c>
      <c r="E321" t="s">
        <v>1697</v>
      </c>
    </row>
    <row r="322" spans="1:5" customFormat="1" ht="12.75" hidden="1" x14ac:dyDescent="0.2">
      <c r="A322" s="9" t="s">
        <v>957</v>
      </c>
      <c r="B322" t="s">
        <v>1405</v>
      </c>
      <c r="C322" t="str">
        <f>VLOOKUP(B322,[1]rt_remap_detail!$E$3:$F$4082,2,0)</f>
        <v>124-18-5</v>
      </c>
      <c r="D322" t="s">
        <v>1696</v>
      </c>
      <c r="E322" t="s">
        <v>1697</v>
      </c>
    </row>
    <row r="323" spans="1:5" customFormat="1" ht="12.75" x14ac:dyDescent="0.2">
      <c r="A323" s="10" t="s">
        <v>1230</v>
      </c>
      <c r="B323" t="s">
        <v>1231</v>
      </c>
      <c r="C323" t="str">
        <f>VLOOKUP(B323,[1]rt_remap_detail!$E$3:$F$4082,2,0)</f>
        <v>2051-24-3</v>
      </c>
      <c r="E323" t="s">
        <v>1696</v>
      </c>
    </row>
    <row r="324" spans="1:5" customFormat="1" ht="12.75" hidden="1" x14ac:dyDescent="0.2">
      <c r="A324" s="10" t="s">
        <v>589</v>
      </c>
      <c r="B324" t="s">
        <v>1539</v>
      </c>
      <c r="C324" t="str">
        <f>VLOOKUP(B324,[1]rt_remap_detail!$E$3:$F$4082,2,0)</f>
        <v>1861-32-1</v>
      </c>
      <c r="D324" t="s">
        <v>1696</v>
      </c>
      <c r="E324" t="s">
        <v>1697</v>
      </c>
    </row>
    <row r="325" spans="1:5" customFormat="1" ht="12.75" hidden="1" x14ac:dyDescent="0.2">
      <c r="A325" s="9" t="s">
        <v>509</v>
      </c>
      <c r="B325" t="s">
        <v>1508</v>
      </c>
      <c r="C325" t="str">
        <f>VLOOKUP(B325,[1]rt_remap_detail!$E$3:$F$4082,2,0)</f>
        <v>75-99-0</v>
      </c>
      <c r="D325" t="s">
        <v>1696</v>
      </c>
      <c r="E325" t="s">
        <v>1697</v>
      </c>
    </row>
    <row r="326" spans="1:5" customFormat="1" ht="12.75" hidden="1" x14ac:dyDescent="0.2">
      <c r="A326" s="10" t="s">
        <v>294</v>
      </c>
      <c r="B326" t="s">
        <v>1442</v>
      </c>
      <c r="C326" t="str">
        <f>VLOOKUP(B326,[1]rt_remap_detail!$E$3:$F$4082,2,0)</f>
        <v>110-82-7</v>
      </c>
      <c r="D326" t="s">
        <v>1696</v>
      </c>
      <c r="E326" t="s">
        <v>1697</v>
      </c>
    </row>
    <row r="327" spans="1:5" customFormat="1" ht="12.75" hidden="1" x14ac:dyDescent="0.2">
      <c r="A327" s="9" t="s">
        <v>451</v>
      </c>
      <c r="B327" t="s">
        <v>1482</v>
      </c>
      <c r="C327" t="str">
        <f>VLOOKUP(B327,[1]rt_remap_detail!$E$3:$F$4082,2,0)</f>
        <v>57-12-5</v>
      </c>
      <c r="D327" t="s">
        <v>1696</v>
      </c>
      <c r="E327" t="s">
        <v>1697</v>
      </c>
    </row>
    <row r="328" spans="1:5" customFormat="1" ht="12.75" x14ac:dyDescent="0.2">
      <c r="A328" s="10" t="s">
        <v>429</v>
      </c>
      <c r="B328" t="s">
        <v>1238</v>
      </c>
      <c r="C328" t="str">
        <f>VLOOKUP(B328,[1]rt_remap_detail!$E$3:$F$4082,2,0)</f>
        <v>56-72-4</v>
      </c>
      <c r="D328" t="s">
        <v>1696</v>
      </c>
      <c r="E328" t="s">
        <v>1696</v>
      </c>
    </row>
    <row r="329" spans="1:5" customFormat="1" ht="12.75" x14ac:dyDescent="0.2">
      <c r="A329" s="9" t="s">
        <v>253</v>
      </c>
      <c r="B329" t="s">
        <v>1241</v>
      </c>
      <c r="C329" t="str">
        <f>VLOOKUP(B329,[1]rt_remap_detail!$E$3:$F$4082,2,0)</f>
        <v>7440-50-8</v>
      </c>
      <c r="D329" t="s">
        <v>1696</v>
      </c>
      <c r="E329" t="s">
        <v>1696</v>
      </c>
    </row>
    <row r="330" spans="1:5" customFormat="1" ht="12.75" hidden="1" x14ac:dyDescent="0.2">
      <c r="A330" s="9" t="s">
        <v>685</v>
      </c>
      <c r="B330" t="s">
        <v>1356</v>
      </c>
      <c r="C330" t="str">
        <f>VLOOKUP(B330,[1]rt_remap_detail!$E$3:$F$4082,2,0)</f>
        <v>HC</v>
      </c>
      <c r="D330" t="s">
        <v>1696</v>
      </c>
      <c r="E330" t="s">
        <v>1697</v>
      </c>
    </row>
    <row r="331" spans="1:5" customFormat="1" ht="12.75" hidden="1" x14ac:dyDescent="0.2">
      <c r="A331" s="10" t="s">
        <v>1044</v>
      </c>
      <c r="B331" t="s">
        <v>1397</v>
      </c>
      <c r="C331" t="str">
        <f>VLOOKUP(B331,[1]rt_remap_detail!$E$3:$F$4082,2,0)</f>
        <v>COLOR</v>
      </c>
      <c r="D331" t="s">
        <v>1696</v>
      </c>
      <c r="E331" t="s">
        <v>1697</v>
      </c>
    </row>
    <row r="332" spans="1:5" customFormat="1" ht="12.75" hidden="1" x14ac:dyDescent="0.2">
      <c r="A332" s="10" t="s">
        <v>872</v>
      </c>
      <c r="B332" t="s">
        <v>1626</v>
      </c>
      <c r="C332" t="str">
        <f>VLOOKUP(B332,[1]rt_remap_detail!$E$3:$F$4082,2,0)</f>
        <v>TCOLI</v>
      </c>
      <c r="D332" t="s">
        <v>1696</v>
      </c>
      <c r="E332" t="s">
        <v>1697</v>
      </c>
    </row>
    <row r="333" spans="1:5" customFormat="1" ht="12.75" x14ac:dyDescent="0.2">
      <c r="A333" s="9" t="s">
        <v>293</v>
      </c>
      <c r="B333" t="s">
        <v>1237</v>
      </c>
      <c r="C333" t="str">
        <f>VLOOKUP(B333,[1]rt_remap_detail!$E$3:$F$4082,2,0)</f>
        <v>7440-48-4</v>
      </c>
      <c r="D333" t="s">
        <v>1696</v>
      </c>
      <c r="E333" t="s">
        <v>1696</v>
      </c>
    </row>
    <row r="334" spans="1:5" customFormat="1" ht="12.75" hidden="1" x14ac:dyDescent="0.2">
      <c r="A334" s="10" t="s">
        <v>724</v>
      </c>
      <c r="B334" t="s">
        <v>1588</v>
      </c>
      <c r="C334" t="str">
        <f>VLOOKUP(B334,[1]rt_remap_detail!$E$3:$F$4082,2,0)</f>
        <v>1476-11-5</v>
      </c>
      <c r="D334" t="s">
        <v>1696</v>
      </c>
      <c r="E334" t="s">
        <v>1697</v>
      </c>
    </row>
    <row r="335" spans="1:5" customFormat="1" ht="12.75" x14ac:dyDescent="0.2">
      <c r="A335" s="10" t="s">
        <v>201</v>
      </c>
      <c r="B335" t="s">
        <v>1144</v>
      </c>
      <c r="C335" t="str">
        <f>VLOOKUP(B335,[1]rt_remap_detail!$E$3:$F$4082,2,0)</f>
        <v>10061-01-5</v>
      </c>
      <c r="D335" t="s">
        <v>1696</v>
      </c>
      <c r="E335" t="s">
        <v>1696</v>
      </c>
    </row>
    <row r="336" spans="1:5" customFormat="1" ht="12.75" x14ac:dyDescent="0.2">
      <c r="A336" s="9" t="s">
        <v>180</v>
      </c>
      <c r="B336" t="s">
        <v>1141</v>
      </c>
      <c r="C336" t="str">
        <f>VLOOKUP(B336,[1]rt_remap_detail!$E$3:$F$4082,2,0)</f>
        <v>156-59-2</v>
      </c>
      <c r="D336" t="s">
        <v>1696</v>
      </c>
      <c r="E336" t="s">
        <v>1696</v>
      </c>
    </row>
    <row r="337" spans="1:5" customFormat="1" ht="12.75" x14ac:dyDescent="0.2">
      <c r="A337" s="9" t="s">
        <v>355</v>
      </c>
      <c r="B337" t="s">
        <v>1229</v>
      </c>
      <c r="C337" t="str">
        <f>VLOOKUP(B337,[1]rt_remap_detail!$E$3:$F$4082,2,0)</f>
        <v>218-01-9</v>
      </c>
      <c r="D337" t="s">
        <v>1696</v>
      </c>
      <c r="E337" t="s">
        <v>1696</v>
      </c>
    </row>
    <row r="338" spans="1:5" customFormat="1" ht="12.75" hidden="1" x14ac:dyDescent="0.2">
      <c r="A338" s="10" t="s">
        <v>300</v>
      </c>
      <c r="B338" t="s">
        <v>1445</v>
      </c>
      <c r="C338" t="str">
        <f>VLOOKUP(B338,[1]rt_remap_detail!$E$3:$F$4082,2,0)</f>
        <v>18540-29-9</v>
      </c>
      <c r="D338" t="s">
        <v>1696</v>
      </c>
      <c r="E338" t="s">
        <v>1697</v>
      </c>
    </row>
    <row r="339" spans="1:5" customFormat="1" ht="12.75" hidden="1" x14ac:dyDescent="0.2">
      <c r="A339" s="9" t="s">
        <v>752</v>
      </c>
      <c r="B339" t="s">
        <v>1599</v>
      </c>
      <c r="C339" t="str">
        <f>VLOOKUP(B339,[1]rt_remap_detail!$E$3:$F$4082,2,0)</f>
        <v>16065-83-1</v>
      </c>
      <c r="D339" t="s">
        <v>1696</v>
      </c>
      <c r="E339" t="s">
        <v>1697</v>
      </c>
    </row>
    <row r="340" spans="1:5" customFormat="1" ht="12.75" x14ac:dyDescent="0.2">
      <c r="A340" s="9" t="s">
        <v>309</v>
      </c>
      <c r="B340" t="s">
        <v>1240</v>
      </c>
      <c r="C340" t="str">
        <f>VLOOKUP(B340,[1]rt_remap_detail!$E$3:$F$4082,2,0)</f>
        <v>7440-47-3</v>
      </c>
      <c r="D340" t="s">
        <v>1696</v>
      </c>
      <c r="E340" t="s">
        <v>1696</v>
      </c>
    </row>
    <row r="341" spans="1:5" customFormat="1" ht="12.75" x14ac:dyDescent="0.2">
      <c r="A341" s="9" t="s">
        <v>427</v>
      </c>
      <c r="B341" t="s">
        <v>1235</v>
      </c>
      <c r="C341" t="str">
        <f>VLOOKUP(B341,[1]rt_remap_detail!$E$3:$F$4082,2,0)</f>
        <v>2921-88-2</v>
      </c>
      <c r="D341" t="s">
        <v>1696</v>
      </c>
      <c r="E341" t="s">
        <v>1696</v>
      </c>
    </row>
    <row r="342" spans="1:5" customFormat="1" ht="12.75" hidden="1" x14ac:dyDescent="0.2">
      <c r="A342" s="9" t="s">
        <v>642</v>
      </c>
      <c r="B342" t="s">
        <v>1555</v>
      </c>
      <c r="C342" t="str">
        <f>VLOOKUP(B342,[1]rt_remap_detail!$E$3:$F$4082,2,0)</f>
        <v>25168-05-2</v>
      </c>
      <c r="D342" t="s">
        <v>1696</v>
      </c>
      <c r="E342" t="s">
        <v>1697</v>
      </c>
    </row>
    <row r="343" spans="1:5" customFormat="1" ht="12.75" x14ac:dyDescent="0.2">
      <c r="A343" s="10" t="s">
        <v>227</v>
      </c>
      <c r="B343" t="s">
        <v>1128</v>
      </c>
      <c r="C343" t="str">
        <f>VLOOKUP(B343,[1]rt_remap_detail!$E$3:$F$4082,2,0)</f>
        <v>74-87-3</v>
      </c>
      <c r="D343" t="s">
        <v>1696</v>
      </c>
      <c r="E343" t="s">
        <v>1696</v>
      </c>
    </row>
    <row r="344" spans="1:5" customFormat="1" ht="12.75" x14ac:dyDescent="0.2">
      <c r="A344" s="10" t="s">
        <v>170</v>
      </c>
      <c r="B344" t="s">
        <v>1177</v>
      </c>
      <c r="C344" t="str">
        <f>VLOOKUP(B344,[1]rt_remap_detail!$E$3:$F$4082,2,0)</f>
        <v>67-66-3</v>
      </c>
      <c r="D344" t="s">
        <v>1696</v>
      </c>
      <c r="E344" t="s">
        <v>1696</v>
      </c>
    </row>
    <row r="345" spans="1:5" customFormat="1" ht="12.75" x14ac:dyDescent="0.2">
      <c r="A345" s="10" t="s">
        <v>209</v>
      </c>
      <c r="B345" t="s">
        <v>1127</v>
      </c>
      <c r="C345" t="str">
        <f>VLOOKUP(B345,[1]rt_remap_detail!$E$3:$F$4082,2,0)</f>
        <v>75-00-3</v>
      </c>
      <c r="D345" t="s">
        <v>1696</v>
      </c>
      <c r="E345" t="s">
        <v>1696</v>
      </c>
    </row>
    <row r="346" spans="1:5" customFormat="1" ht="12.75" hidden="1" x14ac:dyDescent="0.2">
      <c r="A346" s="10" t="s">
        <v>922</v>
      </c>
      <c r="B346" t="s">
        <v>1371</v>
      </c>
      <c r="C346" t="e">
        <f>VLOOKUP(B346,[1]rt_remap_detail!$E$3:$F$4082,2,0)</f>
        <v>#N/A</v>
      </c>
      <c r="D346" t="s">
        <v>1696</v>
      </c>
      <c r="E346" t="s">
        <v>1697</v>
      </c>
    </row>
    <row r="347" spans="1:5" customFormat="1" ht="12.75" hidden="1" x14ac:dyDescent="0.2">
      <c r="A347" s="9" t="s">
        <v>574</v>
      </c>
      <c r="B347" t="s">
        <v>1532</v>
      </c>
      <c r="C347" t="str">
        <f>VLOOKUP(B347,[1]rt_remap_detail!$E$3:$F$4082,2,0)</f>
        <v>510-15-6</v>
      </c>
      <c r="D347" t="s">
        <v>1696</v>
      </c>
      <c r="E347" t="s">
        <v>1697</v>
      </c>
    </row>
    <row r="348" spans="1:5" customFormat="1" ht="12.75" hidden="1" x14ac:dyDescent="0.2">
      <c r="A348" s="9" t="s">
        <v>780</v>
      </c>
      <c r="B348" t="s">
        <v>1607</v>
      </c>
      <c r="C348" t="str">
        <f>VLOOKUP(B348,[1]rt_remap_detail!$E$3:$F$4082,2,0)</f>
        <v>3114-55-4</v>
      </c>
      <c r="D348" t="s">
        <v>1696</v>
      </c>
      <c r="E348" t="s">
        <v>1697</v>
      </c>
    </row>
    <row r="349" spans="1:5" customFormat="1" ht="12.75" x14ac:dyDescent="0.2">
      <c r="A349" s="10" t="s">
        <v>172</v>
      </c>
      <c r="B349" t="s">
        <v>1124</v>
      </c>
      <c r="C349" t="str">
        <f>VLOOKUP(B349,[1]rt_remap_detail!$E$3:$F$4082,2,0)</f>
        <v>108-90-7</v>
      </c>
      <c r="D349" t="s">
        <v>1696</v>
      </c>
      <c r="E349" t="s">
        <v>1696</v>
      </c>
    </row>
    <row r="350" spans="1:5" customFormat="1" ht="12.75" hidden="1" x14ac:dyDescent="0.2">
      <c r="A350" s="9" t="s">
        <v>1009</v>
      </c>
      <c r="B350" t="s">
        <v>1666</v>
      </c>
      <c r="C350" t="str">
        <f>VLOOKUP(B350,[1]rt_remap_detail!$E$3:$F$4082,2,0)</f>
        <v>79-11-8</v>
      </c>
      <c r="D350" t="s">
        <v>1696</v>
      </c>
      <c r="E350" t="s">
        <v>1697</v>
      </c>
    </row>
    <row r="351" spans="1:5" customFormat="1" ht="12.75" hidden="1" x14ac:dyDescent="0.2">
      <c r="A351" s="10" t="s">
        <v>362</v>
      </c>
      <c r="B351" t="s">
        <v>1452</v>
      </c>
      <c r="C351" t="str">
        <f>VLOOKUP(B351,[1]rt_remap_detail!$E$3:$F$4082,2,0)</f>
        <v>16887-00-6</v>
      </c>
      <c r="D351" t="s">
        <v>1696</v>
      </c>
      <c r="E351" t="s">
        <v>1697</v>
      </c>
    </row>
    <row r="352" spans="1:5" customFormat="1" ht="12.75" hidden="1" x14ac:dyDescent="0.2">
      <c r="A352" s="10" t="s">
        <v>830</v>
      </c>
      <c r="B352" t="s">
        <v>1618</v>
      </c>
      <c r="C352" t="str">
        <f>VLOOKUP(B352,[1]rt_remap_detail!$E$3:$F$4082,2,0)</f>
        <v>12789-03-6</v>
      </c>
      <c r="D352" t="s">
        <v>1696</v>
      </c>
      <c r="E352" t="s">
        <v>1697</v>
      </c>
    </row>
    <row r="353" spans="1:5" customFormat="1" ht="12.75" x14ac:dyDescent="0.2">
      <c r="A353" s="9" t="s">
        <v>447</v>
      </c>
      <c r="B353" t="s">
        <v>1228</v>
      </c>
      <c r="C353" t="str">
        <f>VLOOKUP(B353,[1]rt_remap_detail!$E$3:$F$4082,2,0)</f>
        <v>57-74-9</v>
      </c>
      <c r="D353" t="s">
        <v>1696</v>
      </c>
      <c r="E353" t="s">
        <v>1696</v>
      </c>
    </row>
    <row r="354" spans="1:5" customFormat="1" ht="12.75" hidden="1" x14ac:dyDescent="0.2">
      <c r="A354" s="9" t="s">
        <v>448</v>
      </c>
      <c r="B354" t="s">
        <v>1348</v>
      </c>
      <c r="C354" t="str">
        <f>VLOOKUP(B354,[1]rt_remap_detail!$E$3:$F$4082,2,0)</f>
        <v>COD</v>
      </c>
      <c r="D354" t="s">
        <v>1696</v>
      </c>
      <c r="E354" t="s">
        <v>1697</v>
      </c>
    </row>
    <row r="355" spans="1:5" customFormat="1" ht="12.75" hidden="1" x14ac:dyDescent="0.2">
      <c r="A355" s="9" t="s">
        <v>1031</v>
      </c>
      <c r="B355" t="s">
        <v>1675</v>
      </c>
      <c r="C355" t="str">
        <f>VLOOKUP(B355,[1]rt_remap_detail!$E$3:$F$4082,2,0)</f>
        <v>471-34-1</v>
      </c>
      <c r="D355" t="s">
        <v>1696</v>
      </c>
      <c r="E355" t="s">
        <v>1697</v>
      </c>
    </row>
    <row r="356" spans="1:5" customFormat="1" ht="12.75" hidden="1" x14ac:dyDescent="0.2">
      <c r="A356" s="9" t="s">
        <v>686</v>
      </c>
      <c r="B356" t="s">
        <v>1393</v>
      </c>
      <c r="C356" t="str">
        <f>VLOOKUP(B356,[1]rt_remap_detail!$E$3:$F$4082,2,0)</f>
        <v>3812-32-6</v>
      </c>
      <c r="D356" t="s">
        <v>1696</v>
      </c>
      <c r="E356" t="s">
        <v>1697</v>
      </c>
    </row>
    <row r="357" spans="1:5" customFormat="1" ht="12.75" hidden="1" x14ac:dyDescent="0.2">
      <c r="A357" s="9" t="s">
        <v>959</v>
      </c>
      <c r="B357" t="s">
        <v>1373</v>
      </c>
      <c r="C357" t="e">
        <f>VLOOKUP(B357,[1]rt_remap_detail!$E$3:$F$4082,2,0)</f>
        <v>#N/A</v>
      </c>
      <c r="D357" t="s">
        <v>1696</v>
      </c>
      <c r="E357" t="s">
        <v>1697</v>
      </c>
    </row>
    <row r="358" spans="1:5" customFormat="1" ht="12.75" x14ac:dyDescent="0.2">
      <c r="A358" s="10" t="s">
        <v>204</v>
      </c>
      <c r="B358" t="s">
        <v>1129</v>
      </c>
      <c r="C358" t="str">
        <f>VLOOKUP(B358,[1]rt_remap_detail!$E$3:$F$4082,2,0)</f>
        <v>56-23-5</v>
      </c>
      <c r="D358" t="s">
        <v>1696</v>
      </c>
      <c r="E358" t="s">
        <v>1696</v>
      </c>
    </row>
    <row r="359" spans="1:5" customFormat="1" ht="12.75" x14ac:dyDescent="0.2">
      <c r="A359" s="10" t="s">
        <v>649</v>
      </c>
      <c r="B359" t="s">
        <v>1338</v>
      </c>
      <c r="C359" t="str">
        <f>VLOOKUP(B359,[1]rt_remap_detail!$E$3:$F$4082,2,0)</f>
        <v>630-08-0</v>
      </c>
      <c r="D359" t="s">
        <v>1696</v>
      </c>
      <c r="E359" t="s">
        <v>1696</v>
      </c>
    </row>
    <row r="360" spans="1:5" customFormat="1" ht="12.75" x14ac:dyDescent="0.2">
      <c r="A360" s="10" t="s">
        <v>184</v>
      </c>
      <c r="B360" t="s">
        <v>1123</v>
      </c>
      <c r="C360" t="str">
        <f>VLOOKUP(B360,[1]rt_remap_detail!$E$3:$F$4082,2,0)</f>
        <v>75-15-0</v>
      </c>
      <c r="D360" t="s">
        <v>1696</v>
      </c>
      <c r="E360" t="s">
        <v>1696</v>
      </c>
    </row>
    <row r="361" spans="1:5" customFormat="1" ht="12.75" x14ac:dyDescent="0.2">
      <c r="A361" s="10" t="s">
        <v>383</v>
      </c>
      <c r="B361" t="s">
        <v>1183</v>
      </c>
      <c r="C361" t="str">
        <f>VLOOKUP(B361,[1]rt_remap_detail!$E$3:$F$4082,2,0)</f>
        <v>124-38-9</v>
      </c>
      <c r="D361" t="s">
        <v>1696</v>
      </c>
      <c r="E361" t="s">
        <v>1696</v>
      </c>
    </row>
    <row r="362" spans="1:5" customFormat="1" ht="12.75" hidden="1" x14ac:dyDescent="0.2">
      <c r="A362" s="10" t="s">
        <v>456</v>
      </c>
      <c r="B362" t="s">
        <v>1484</v>
      </c>
      <c r="C362" t="str">
        <f>VLOOKUP(B362,[1]rt_remap_detail!$E$3:$F$4082,2,0)</f>
        <v>86-74-8</v>
      </c>
      <c r="D362" t="s">
        <v>1696</v>
      </c>
      <c r="E362" t="s">
        <v>1697</v>
      </c>
    </row>
    <row r="363" spans="1:5" customFormat="1" ht="12.75" hidden="1" x14ac:dyDescent="0.2">
      <c r="A363" s="9" t="s">
        <v>1015</v>
      </c>
      <c r="B363" t="s">
        <v>1670</v>
      </c>
      <c r="C363" t="str">
        <f>VLOOKUP(B363,[1]rt_remap_detail!$E$3:$F$4082,2,0)</f>
        <v>105-60-2</v>
      </c>
      <c r="D363" t="s">
        <v>1696</v>
      </c>
      <c r="E363" t="s">
        <v>1697</v>
      </c>
    </row>
    <row r="364" spans="1:5" customFormat="1" ht="12.75" hidden="1" x14ac:dyDescent="0.2">
      <c r="A364" s="9" t="s">
        <v>257</v>
      </c>
      <c r="B364" t="s">
        <v>1422</v>
      </c>
      <c r="C364" t="str">
        <f>VLOOKUP(B364,[1]rt_remap_detail!$E$3:$F$4082,2,0)</f>
        <v>7440-70-2</v>
      </c>
      <c r="D364" t="s">
        <v>1696</v>
      </c>
      <c r="E364" t="s">
        <v>1697</v>
      </c>
    </row>
    <row r="365" spans="1:5" customFormat="1" ht="12.75" x14ac:dyDescent="0.2">
      <c r="A365" s="9" t="s">
        <v>382</v>
      </c>
      <c r="B365" t="s">
        <v>1227</v>
      </c>
      <c r="C365" t="str">
        <f>VLOOKUP(B365,[1]rt_remap_detail!$E$3:$F$4082,2,0)</f>
        <v>7440-43-9</v>
      </c>
      <c r="D365" t="s">
        <v>1696</v>
      </c>
      <c r="E365" t="s">
        <v>1696</v>
      </c>
    </row>
    <row r="366" spans="1:5" customFormat="1" ht="12.75" hidden="1" x14ac:dyDescent="0.2">
      <c r="A366" s="9" t="s">
        <v>644</v>
      </c>
      <c r="B366" t="s">
        <v>1557</v>
      </c>
      <c r="C366" t="str">
        <f>VLOOKUP(B366,[1]rt_remap_detail!$E$3:$F$4082,2,0)</f>
        <v>AR_C9C10</v>
      </c>
      <c r="D366" t="s">
        <v>1696</v>
      </c>
      <c r="E366" t="s">
        <v>1697</v>
      </c>
    </row>
    <row r="367" spans="1:5" customFormat="1" ht="12.75" hidden="1" x14ac:dyDescent="0.2">
      <c r="A367" s="10" t="s">
        <v>730</v>
      </c>
      <c r="B367" t="s">
        <v>1593</v>
      </c>
      <c r="C367" t="str">
        <f>VLOOKUP(B367,[1]rt_remap_detail!$E$3:$F$4082,2,0)</f>
        <v>AR_C8C10</v>
      </c>
      <c r="D367" t="s">
        <v>1696</v>
      </c>
      <c r="E367" t="s">
        <v>1697</v>
      </c>
    </row>
    <row r="368" spans="1:5" customFormat="1" ht="12.75" hidden="1" x14ac:dyDescent="0.2">
      <c r="A368" s="10" t="s">
        <v>727</v>
      </c>
      <c r="B368" t="s">
        <v>1590</v>
      </c>
      <c r="C368" t="str">
        <f>VLOOKUP(B368,[1]rt_remap_detail!$E$3:$F$4082,2,0)</f>
        <v>AL_C8C10</v>
      </c>
      <c r="D368" t="s">
        <v>1696</v>
      </c>
      <c r="E368" t="s">
        <v>1697</v>
      </c>
    </row>
    <row r="369" spans="1:5" customFormat="1" ht="12.75" hidden="1" x14ac:dyDescent="0.2">
      <c r="A369" s="9" t="s">
        <v>1066</v>
      </c>
      <c r="B369" t="s">
        <v>1684</v>
      </c>
      <c r="C369" t="str">
        <f>VLOOKUP(B369,[1]rt_remap_detail!$E$3:$F$4082,2,0)</f>
        <v>111-65-9</v>
      </c>
      <c r="D369" t="s">
        <v>1696</v>
      </c>
      <c r="E369" t="s">
        <v>1697</v>
      </c>
    </row>
    <row r="370" spans="1:5" customFormat="1" ht="12.75" hidden="1" x14ac:dyDescent="0.2">
      <c r="A370" s="9" t="s">
        <v>728</v>
      </c>
      <c r="B370" t="s">
        <v>1591</v>
      </c>
      <c r="C370" t="str">
        <f>VLOOKUP(B370,[1]rt_remap_detail!$E$3:$F$4082,2,0)</f>
        <v>AL_C6C8</v>
      </c>
      <c r="D370" t="s">
        <v>1696</v>
      </c>
      <c r="E370" t="s">
        <v>1697</v>
      </c>
    </row>
    <row r="371" spans="1:5" customFormat="1" ht="12.75" hidden="1" x14ac:dyDescent="0.2">
      <c r="A371" s="10" t="s">
        <v>713</v>
      </c>
      <c r="B371" t="s">
        <v>1585</v>
      </c>
      <c r="C371" t="str">
        <f>VLOOKUP(B371,[1]rt_remap_detail!$E$3:$F$4082,2,0)</f>
        <v>AL_C6C10</v>
      </c>
      <c r="D371" t="s">
        <v>1696</v>
      </c>
      <c r="E371" t="s">
        <v>1697</v>
      </c>
    </row>
    <row r="372" spans="1:5" customFormat="1" ht="12.75" hidden="1" x14ac:dyDescent="0.2">
      <c r="A372" s="10" t="s">
        <v>955</v>
      </c>
      <c r="B372" t="s">
        <v>1654</v>
      </c>
      <c r="C372" t="str">
        <f>VLOOKUP(B372,[1]rt_remap_detail!$E$3:$F$4082,2,0)</f>
        <v>AL_C5C8</v>
      </c>
      <c r="D372" t="s">
        <v>1696</v>
      </c>
      <c r="E372" t="s">
        <v>1697</v>
      </c>
    </row>
    <row r="373" spans="1:5" customFormat="1" ht="12.75" hidden="1" x14ac:dyDescent="0.2">
      <c r="A373" s="9" t="s">
        <v>736</v>
      </c>
      <c r="B373" t="s">
        <v>1596</v>
      </c>
      <c r="C373" t="str">
        <f>VLOOKUP(B373,[1]rt_remap_detail!$E$3:$F$4082,2,0)</f>
        <v>AL_C5C6</v>
      </c>
      <c r="D373" t="s">
        <v>1696</v>
      </c>
      <c r="E373" t="s">
        <v>1697</v>
      </c>
    </row>
    <row r="374" spans="1:5" customFormat="1" ht="12.75" hidden="1" x14ac:dyDescent="0.2">
      <c r="A374" s="10" t="s">
        <v>833</v>
      </c>
      <c r="B374" t="s">
        <v>1619</v>
      </c>
      <c r="C374" t="str">
        <f>VLOOKUP(B374,[1]rt_remap_detail!$E$3:$F$4082,2,0)</f>
        <v>AR_C21C34</v>
      </c>
      <c r="D374" t="s">
        <v>1696</v>
      </c>
      <c r="E374" t="s">
        <v>1697</v>
      </c>
    </row>
    <row r="375" spans="1:5" customFormat="1" ht="12.75" hidden="1" x14ac:dyDescent="0.2">
      <c r="A375" s="10" t="s">
        <v>837</v>
      </c>
      <c r="B375" t="s">
        <v>1622</v>
      </c>
      <c r="C375" t="str">
        <f>VLOOKUP(B375,[1]rt_remap_detail!$E$3:$F$4082,2,0)</f>
        <v>AL_C21C34</v>
      </c>
      <c r="D375" t="s">
        <v>1696</v>
      </c>
      <c r="E375" t="s">
        <v>1697</v>
      </c>
    </row>
    <row r="376" spans="1:5" customFormat="1" ht="12.75" hidden="1" x14ac:dyDescent="0.2">
      <c r="A376" s="10" t="s">
        <v>768</v>
      </c>
      <c r="B376" t="s">
        <v>1601</v>
      </c>
      <c r="C376" t="str">
        <f>VLOOKUP(B376,[1]rt_remap_detail!$E$3:$F$4082,2,0)</f>
        <v>AR_C16C21</v>
      </c>
      <c r="D376" t="s">
        <v>1696</v>
      </c>
      <c r="E376" t="s">
        <v>1697</v>
      </c>
    </row>
    <row r="377" spans="1:5" customFormat="1" ht="12.75" hidden="1" x14ac:dyDescent="0.2">
      <c r="A377" s="9" t="s">
        <v>729</v>
      </c>
      <c r="B377" t="s">
        <v>1592</v>
      </c>
      <c r="C377" t="str">
        <f>VLOOKUP(B377,[1]rt_remap_detail!$E$3:$F$4082,2,0)</f>
        <v>AL_C16C21</v>
      </c>
      <c r="D377" t="s">
        <v>1696</v>
      </c>
      <c r="E377" t="s">
        <v>1697</v>
      </c>
    </row>
    <row r="378" spans="1:5" customFormat="1" ht="12.75" hidden="1" x14ac:dyDescent="0.2">
      <c r="A378" s="9" t="s">
        <v>737</v>
      </c>
      <c r="B378" t="s">
        <v>1597</v>
      </c>
      <c r="C378" t="str">
        <f>VLOOKUP(B378,[1]rt_remap_detail!$E$3:$F$4082,2,0)</f>
        <v>AR_C12C16</v>
      </c>
      <c r="D378" t="s">
        <v>1696</v>
      </c>
      <c r="E378" t="s">
        <v>1697</v>
      </c>
    </row>
    <row r="379" spans="1:5" customFormat="1" ht="12.75" hidden="1" x14ac:dyDescent="0.2">
      <c r="A379" s="9" t="s">
        <v>767</v>
      </c>
      <c r="B379" t="s">
        <v>1600</v>
      </c>
      <c r="C379" t="str">
        <f>VLOOKUP(B379,[1]rt_remap_detail!$E$3:$F$4082,2,0)</f>
        <v>AR_C12C13</v>
      </c>
      <c r="D379" t="s">
        <v>1696</v>
      </c>
      <c r="E379" t="s">
        <v>1697</v>
      </c>
    </row>
    <row r="380" spans="1:5" customFormat="1" ht="12.75" hidden="1" x14ac:dyDescent="0.2">
      <c r="A380" s="10" t="s">
        <v>938</v>
      </c>
      <c r="B380" t="s">
        <v>1652</v>
      </c>
      <c r="C380" t="str">
        <f>VLOOKUP(B380,[1]rt_remap_detail!$E$3:$F$4082,2,0)</f>
        <v>AL_C10C24</v>
      </c>
      <c r="D380" t="s">
        <v>1696</v>
      </c>
      <c r="E380" t="s">
        <v>1697</v>
      </c>
    </row>
    <row r="381" spans="1:5" customFormat="1" ht="12.75" hidden="1" x14ac:dyDescent="0.2">
      <c r="A381" s="10" t="s">
        <v>731</v>
      </c>
      <c r="B381" t="s">
        <v>1594</v>
      </c>
      <c r="C381" t="str">
        <f>VLOOKUP(B381,[1]rt_remap_detail!$E$3:$F$4082,2,0)</f>
        <v>AR_C10C12</v>
      </c>
      <c r="D381" t="s">
        <v>1696</v>
      </c>
      <c r="E381" t="s">
        <v>1697</v>
      </c>
    </row>
    <row r="382" spans="1:5" customFormat="1" ht="12.75" hidden="1" x14ac:dyDescent="0.2">
      <c r="A382" s="9" t="s">
        <v>733</v>
      </c>
      <c r="B382" t="s">
        <v>1595</v>
      </c>
      <c r="C382" t="str">
        <f>VLOOKUP(B382,[1]rt_remap_detail!$E$3:$F$4082,2,0)</f>
        <v>AL_C10C12</v>
      </c>
      <c r="D382" t="s">
        <v>1696</v>
      </c>
      <c r="E382" t="s">
        <v>1697</v>
      </c>
    </row>
    <row r="383" spans="1:5" customFormat="1" ht="12.75" hidden="1" x14ac:dyDescent="0.2">
      <c r="A383" s="10" t="s">
        <v>669</v>
      </c>
      <c r="B383" t="s">
        <v>1570</v>
      </c>
      <c r="C383" t="str">
        <f>VLOOKUP(B383,[1]rt_remap_detail!$E$3:$F$4082,2,0)</f>
        <v>141-32-2</v>
      </c>
      <c r="D383" t="s">
        <v>1696</v>
      </c>
      <c r="E383" t="s">
        <v>1697</v>
      </c>
    </row>
    <row r="384" spans="1:5" customFormat="1" ht="12.75" hidden="1" x14ac:dyDescent="0.2">
      <c r="A384" s="10" t="s">
        <v>769</v>
      </c>
      <c r="B384" t="s">
        <v>1602</v>
      </c>
      <c r="C384" t="str">
        <f>VLOOKUP(B384,[1]rt_remap_detail!$E$3:$F$4082,2,0)</f>
        <v>123-86-4</v>
      </c>
      <c r="D384" t="s">
        <v>1696</v>
      </c>
      <c r="E384" t="s">
        <v>1697</v>
      </c>
    </row>
    <row r="385" spans="1:5" customFormat="1" ht="12.75" hidden="1" x14ac:dyDescent="0.2">
      <c r="A385" s="9" t="s">
        <v>391</v>
      </c>
      <c r="B385" t="s">
        <v>1344</v>
      </c>
      <c r="C385" t="e">
        <f>VLOOKUP(B385,[1]rt_remap_detail!$E$3:$F$4082,2,0)</f>
        <v>#N/A</v>
      </c>
      <c r="D385" t="s">
        <v>1696</v>
      </c>
      <c r="E385" t="s">
        <v>1697</v>
      </c>
    </row>
    <row r="386" spans="1:5" customFormat="1" ht="12.75" hidden="1" x14ac:dyDescent="0.2">
      <c r="A386" s="10" t="s">
        <v>911</v>
      </c>
      <c r="B386" t="s">
        <v>1640</v>
      </c>
      <c r="C386" t="str">
        <f>VLOOKUP(B386,[1]rt_remap_detail!$E$3:$F$4082,2,0)</f>
        <v>106-97-8</v>
      </c>
      <c r="D386" t="s">
        <v>1696</v>
      </c>
      <c r="E386" t="s">
        <v>1697</v>
      </c>
    </row>
    <row r="387" spans="1:5" customFormat="1" ht="12.75" x14ac:dyDescent="0.2">
      <c r="A387" s="9" t="s">
        <v>195</v>
      </c>
      <c r="B387" t="s">
        <v>1119</v>
      </c>
      <c r="C387" t="str">
        <f>VLOOKUP(B387,[1]rt_remap_detail!$E$3:$F$4082,2,0)</f>
        <v>74-83-9</v>
      </c>
      <c r="D387" t="s">
        <v>1696</v>
      </c>
      <c r="E387" t="s">
        <v>1696</v>
      </c>
    </row>
    <row r="388" spans="1:5" customFormat="1" ht="12.75" x14ac:dyDescent="0.2">
      <c r="A388" s="9" t="s">
        <v>226</v>
      </c>
      <c r="B388" t="s">
        <v>1170</v>
      </c>
      <c r="C388" t="str">
        <f>VLOOKUP(B388,[1]rt_remap_detail!$E$3:$F$4082,2,0)</f>
        <v>75-25-2</v>
      </c>
      <c r="D388" t="s">
        <v>1696</v>
      </c>
      <c r="E388" t="s">
        <v>1696</v>
      </c>
    </row>
    <row r="389" spans="1:5" customFormat="1" ht="12.75" hidden="1" x14ac:dyDescent="0.2">
      <c r="A389" s="10" t="s">
        <v>697</v>
      </c>
      <c r="B389" t="s">
        <v>1580</v>
      </c>
      <c r="C389" t="str">
        <f>VLOOKUP(B389,[1]rt_remap_detail!$E$3:$F$4082,2,0)</f>
        <v>74-96-4</v>
      </c>
      <c r="D389" t="s">
        <v>1696</v>
      </c>
      <c r="E389" t="s">
        <v>1697</v>
      </c>
    </row>
    <row r="390" spans="1:5" customFormat="1" ht="12.75" x14ac:dyDescent="0.2">
      <c r="A390" s="9" t="s">
        <v>188</v>
      </c>
      <c r="B390" t="s">
        <v>1116</v>
      </c>
      <c r="C390" t="str">
        <f>VLOOKUP(B390,[1]rt_remap_detail!$E$3:$F$4082,2,0)</f>
        <v>75-27-4</v>
      </c>
      <c r="D390" t="s">
        <v>1696</v>
      </c>
      <c r="E390" t="s">
        <v>1696</v>
      </c>
    </row>
    <row r="391" spans="1:5" customFormat="1" ht="12.75" x14ac:dyDescent="0.2">
      <c r="A391" s="10" t="s">
        <v>199</v>
      </c>
      <c r="B391" t="s">
        <v>1118</v>
      </c>
      <c r="C391" t="str">
        <f>VLOOKUP(B391,[1]rt_remap_detail!$E$3:$F$4082,2,0)</f>
        <v>74-97-5</v>
      </c>
      <c r="D391" t="s">
        <v>1696</v>
      </c>
      <c r="E391" t="s">
        <v>1696</v>
      </c>
    </row>
    <row r="392" spans="1:5" customFormat="1" ht="12.75" x14ac:dyDescent="0.2">
      <c r="A392" s="10" t="s">
        <v>215</v>
      </c>
      <c r="B392" t="s">
        <v>1117</v>
      </c>
      <c r="C392" t="str">
        <f>VLOOKUP(B392,[1]rt_remap_detail!$E$3:$F$4082,2,0)</f>
        <v>108-86-1</v>
      </c>
      <c r="D392" t="s">
        <v>1696</v>
      </c>
      <c r="E392" t="s">
        <v>1696</v>
      </c>
    </row>
    <row r="393" spans="1:5" customFormat="1" ht="12.75" hidden="1" x14ac:dyDescent="0.2">
      <c r="A393" s="10" t="s">
        <v>384</v>
      </c>
      <c r="B393" t="s">
        <v>1462</v>
      </c>
      <c r="C393" t="str">
        <f>VLOOKUP(B393,[1]rt_remap_detail!$E$3:$F$4082,2,0)</f>
        <v>24959-67-9</v>
      </c>
      <c r="D393" t="s">
        <v>1696</v>
      </c>
      <c r="E393" t="s">
        <v>1697</v>
      </c>
    </row>
    <row r="394" spans="1:5" customFormat="1" ht="12.75" hidden="1" x14ac:dyDescent="0.2">
      <c r="A394" s="10" t="s">
        <v>615</v>
      </c>
      <c r="B394" t="s">
        <v>1546</v>
      </c>
      <c r="C394" t="str">
        <f>VLOOKUP(B394,[1]rt_remap_detail!$E$3:$F$4082,2,0)</f>
        <v>7440-42-8</v>
      </c>
      <c r="D394" t="s">
        <v>1696</v>
      </c>
      <c r="E394" t="s">
        <v>1697</v>
      </c>
    </row>
    <row r="395" spans="1:5" customFormat="1" ht="12.75" x14ac:dyDescent="0.2">
      <c r="A395" s="9" t="s">
        <v>434</v>
      </c>
      <c r="B395" t="s">
        <v>1325</v>
      </c>
      <c r="C395" t="str">
        <f>VLOOKUP(B395,[1]rt_remap_detail!$E$3:$F$4082,2,0)</f>
        <v>35400-43-2</v>
      </c>
      <c r="D395" t="s">
        <v>1696</v>
      </c>
      <c r="E395" t="s">
        <v>1696</v>
      </c>
    </row>
    <row r="396" spans="1:5" customFormat="1" ht="12.75" x14ac:dyDescent="0.2">
      <c r="A396" s="9" t="s">
        <v>330</v>
      </c>
      <c r="B396" t="s">
        <v>1216</v>
      </c>
      <c r="C396" t="str">
        <f>VLOOKUP(B396,[1]rt_remap_detail!$E$3:$F$4082,2,0)</f>
        <v>117-81-7</v>
      </c>
      <c r="D396" t="s">
        <v>1696</v>
      </c>
      <c r="E396" t="s">
        <v>1696</v>
      </c>
    </row>
    <row r="397" spans="1:5" customFormat="1" ht="12.75" hidden="1" x14ac:dyDescent="0.2">
      <c r="A397" s="9" t="s">
        <v>884</v>
      </c>
      <c r="B397" t="s">
        <v>1629</v>
      </c>
      <c r="C397" t="str">
        <f>VLOOKUP(B397,[1]rt_remap_detail!$E$3:$F$4082,2,0)</f>
        <v>103-23-1</v>
      </c>
      <c r="D397" t="s">
        <v>1696</v>
      </c>
      <c r="E397" t="s">
        <v>1697</v>
      </c>
    </row>
    <row r="398" spans="1:5" customFormat="1" ht="12.75" x14ac:dyDescent="0.2">
      <c r="A398" s="9" t="s">
        <v>316</v>
      </c>
      <c r="B398" t="s">
        <v>1215</v>
      </c>
      <c r="C398" t="str">
        <f>VLOOKUP(B398,[1]rt_remap_detail!$E$3:$F$4082,2,0)</f>
        <v>108-60-1</v>
      </c>
      <c r="D398" t="s">
        <v>1696</v>
      </c>
      <c r="E398" t="s">
        <v>1696</v>
      </c>
    </row>
    <row r="399" spans="1:5" customFormat="1" ht="12.75" x14ac:dyDescent="0.2">
      <c r="A399" s="10" t="s">
        <v>426</v>
      </c>
      <c r="B399" t="s">
        <v>1214</v>
      </c>
      <c r="C399" t="str">
        <f>VLOOKUP(B399,[1]rt_remap_detail!$E$3:$F$4082,2,0)</f>
        <v>111-44-4</v>
      </c>
      <c r="D399" t="s">
        <v>1696</v>
      </c>
      <c r="E399" t="s">
        <v>1696</v>
      </c>
    </row>
    <row r="400" spans="1:5" customFormat="1" ht="12.75" x14ac:dyDescent="0.2">
      <c r="A400" s="10" t="s">
        <v>298</v>
      </c>
      <c r="B400" t="s">
        <v>1209</v>
      </c>
      <c r="C400" t="str">
        <f>VLOOKUP(B400,[1]rt_remap_detail!$E$3:$F$4082,2,0)</f>
        <v>111-91-1</v>
      </c>
      <c r="D400" t="s">
        <v>1696</v>
      </c>
      <c r="E400" t="s">
        <v>1696</v>
      </c>
    </row>
    <row r="401" spans="1:5" customFormat="1" ht="12.75" hidden="1" x14ac:dyDescent="0.2">
      <c r="A401" s="10" t="s">
        <v>605</v>
      </c>
      <c r="B401" t="s">
        <v>1351</v>
      </c>
      <c r="C401" t="e">
        <f>VLOOKUP(B401,[1]rt_remap_detail!$E$3:$F$4082,2,0)</f>
        <v>#N/A</v>
      </c>
      <c r="D401" t="s">
        <v>1696</v>
      </c>
      <c r="E401" t="s">
        <v>1697</v>
      </c>
    </row>
    <row r="402" spans="1:5" customFormat="1" ht="12.75" hidden="1" x14ac:dyDescent="0.2">
      <c r="A402" s="9" t="s">
        <v>875</v>
      </c>
      <c r="B402" t="s">
        <v>1396</v>
      </c>
      <c r="C402" t="str">
        <f>VLOOKUP(B402,[1]rt_remap_detail!$E$3:$F$4082,2,0)</f>
        <v>BOD</v>
      </c>
      <c r="D402" t="s">
        <v>1696</v>
      </c>
      <c r="E402" t="s">
        <v>1697</v>
      </c>
    </row>
    <row r="403" spans="1:5" customFormat="1" ht="12.75" hidden="1" x14ac:dyDescent="0.2">
      <c r="A403" s="10" t="s">
        <v>596</v>
      </c>
      <c r="B403" t="s">
        <v>1395</v>
      </c>
      <c r="C403" t="str">
        <f>VLOOKUP(B403,[1]rt_remap_detail!$E$3:$F$4082,2,0)</f>
        <v>ALK</v>
      </c>
      <c r="D403" t="s">
        <v>1696</v>
      </c>
      <c r="E403" t="s">
        <v>1697</v>
      </c>
    </row>
    <row r="404" spans="1:5" customFormat="1" ht="12.75" hidden="1" x14ac:dyDescent="0.2">
      <c r="A404" s="9" t="s">
        <v>526</v>
      </c>
      <c r="B404" t="s">
        <v>1349</v>
      </c>
      <c r="C404" t="str">
        <f>VLOOKUP(B404,[1]rt_remap_detail!$E$3:$F$4082,2,0)</f>
        <v>ALK</v>
      </c>
      <c r="D404" t="s">
        <v>1696</v>
      </c>
      <c r="E404" t="s">
        <v>1697</v>
      </c>
    </row>
    <row r="405" spans="1:5" customFormat="1" ht="12.75" hidden="1" x14ac:dyDescent="0.2">
      <c r="A405" s="9" t="s">
        <v>499</v>
      </c>
      <c r="B405" t="s">
        <v>1395</v>
      </c>
      <c r="C405" t="str">
        <f>VLOOKUP(B405,[1]rt_remap_detail!$E$3:$F$4082,2,0)</f>
        <v>ALK</v>
      </c>
      <c r="D405" t="s">
        <v>1696</v>
      </c>
      <c r="E405" t="s">
        <v>1697</v>
      </c>
    </row>
    <row r="406" spans="1:5" customFormat="1" ht="12.75" x14ac:dyDescent="0.2">
      <c r="A406" s="9" t="s">
        <v>286</v>
      </c>
      <c r="B406" t="s">
        <v>1211</v>
      </c>
      <c r="C406" t="str">
        <f>VLOOKUP(B406,[1]rt_remap_detail!$E$3:$F$4082,2,0)</f>
        <v>319-85-7</v>
      </c>
      <c r="D406" t="s">
        <v>1696</v>
      </c>
      <c r="E406" t="s">
        <v>1696</v>
      </c>
    </row>
    <row r="407" spans="1:5" customFormat="1" ht="12.75" x14ac:dyDescent="0.2">
      <c r="A407" s="9" t="s">
        <v>268</v>
      </c>
      <c r="B407" t="s">
        <v>1208</v>
      </c>
      <c r="C407" t="str">
        <f>VLOOKUP(B407,[1]rt_remap_detail!$E$3:$F$4082,2,0)</f>
        <v>7440-41-7</v>
      </c>
      <c r="D407" t="s">
        <v>1696</v>
      </c>
      <c r="E407" t="s">
        <v>1696</v>
      </c>
    </row>
    <row r="408" spans="1:5" customFormat="1" ht="12.75" x14ac:dyDescent="0.2">
      <c r="A408" s="10" t="s">
        <v>287</v>
      </c>
      <c r="B408" t="s">
        <v>1207</v>
      </c>
      <c r="C408" t="str">
        <f>VLOOKUP(B408,[1]rt_remap_detail!$E$3:$F$4082,2,0)</f>
        <v>85-68-7</v>
      </c>
      <c r="D408" t="s">
        <v>1696</v>
      </c>
      <c r="E408" t="s">
        <v>1696</v>
      </c>
    </row>
    <row r="409" spans="1:5" customFormat="1" ht="12.75" x14ac:dyDescent="0.2">
      <c r="A409" s="9" t="s">
        <v>335</v>
      </c>
      <c r="B409" t="s">
        <v>1225</v>
      </c>
      <c r="C409" t="str">
        <f>VLOOKUP(B409,[1]rt_remap_detail!$E$3:$F$4082,2,0)</f>
        <v>100-51-6</v>
      </c>
      <c r="D409" t="s">
        <v>1696</v>
      </c>
      <c r="E409" t="s">
        <v>1696</v>
      </c>
    </row>
    <row r="410" spans="1:5" customFormat="1" ht="12.75" x14ac:dyDescent="0.2">
      <c r="A410" s="9" t="s">
        <v>307</v>
      </c>
      <c r="B410" t="s">
        <v>1219</v>
      </c>
      <c r="C410" t="str">
        <f>VLOOKUP(B410,[1]rt_remap_detail!$E$3:$F$4082,2,0)</f>
        <v>65-85-0</v>
      </c>
      <c r="D410" t="s">
        <v>1696</v>
      </c>
      <c r="E410" t="s">
        <v>1696</v>
      </c>
    </row>
    <row r="411" spans="1:5" customFormat="1" ht="12.75" x14ac:dyDescent="0.2">
      <c r="A411" s="10" t="s">
        <v>354</v>
      </c>
      <c r="B411" t="s">
        <v>1224</v>
      </c>
      <c r="C411" t="str">
        <f>VLOOKUP(B411,[1]rt_remap_detail!$E$3:$F$4082,2,0)</f>
        <v>207-08-9</v>
      </c>
      <c r="D411" t="s">
        <v>1696</v>
      </c>
      <c r="E411" t="s">
        <v>1696</v>
      </c>
    </row>
    <row r="412" spans="1:5" customFormat="1" ht="12.75" x14ac:dyDescent="0.2">
      <c r="A412" s="9" t="s">
        <v>400</v>
      </c>
      <c r="B412" t="s">
        <v>1223</v>
      </c>
      <c r="C412" t="str">
        <f>VLOOKUP(B412,[1]rt_remap_detail!$E$3:$F$4082,2,0)</f>
        <v>191-24-2</v>
      </c>
      <c r="D412" t="s">
        <v>1696</v>
      </c>
      <c r="E412" t="s">
        <v>1696</v>
      </c>
    </row>
    <row r="413" spans="1:5" customFormat="1" ht="12.75" hidden="1" x14ac:dyDescent="0.2">
      <c r="A413" s="10" t="s">
        <v>1000</v>
      </c>
      <c r="B413" t="s">
        <v>1664</v>
      </c>
      <c r="C413" t="str">
        <f>VLOOKUP(B413,[1]rt_remap_detail!$E$3:$F$4082,2,0)</f>
        <v>192-97-2</v>
      </c>
      <c r="D413" t="s">
        <v>1696</v>
      </c>
      <c r="E413" t="s">
        <v>1697</v>
      </c>
    </row>
    <row r="414" spans="1:5" customFormat="1" ht="12.75" x14ac:dyDescent="0.2">
      <c r="A414" s="10" t="s">
        <v>322</v>
      </c>
      <c r="B414" t="s">
        <v>1221</v>
      </c>
      <c r="C414" t="str">
        <f>VLOOKUP(B414,[1]rt_remap_detail!$E$3:$F$4082,2,0)</f>
        <v>205-99-2</v>
      </c>
      <c r="D414" t="s">
        <v>1696</v>
      </c>
      <c r="E414" t="s">
        <v>1696</v>
      </c>
    </row>
    <row r="415" spans="1:5" customFormat="1" ht="12.75" x14ac:dyDescent="0.2">
      <c r="A415" s="10" t="s">
        <v>329</v>
      </c>
      <c r="B415" t="s">
        <v>1220</v>
      </c>
      <c r="C415" t="str">
        <f>VLOOKUP(B415,[1]rt_remap_detail!$E$3:$F$4082,2,0)</f>
        <v>50-32-8</v>
      </c>
      <c r="D415" t="s">
        <v>1696</v>
      </c>
      <c r="E415" t="s">
        <v>1696</v>
      </c>
    </row>
    <row r="416" spans="1:5" customFormat="1" ht="12.75" x14ac:dyDescent="0.2">
      <c r="A416" s="10" t="s">
        <v>323</v>
      </c>
      <c r="B416" t="s">
        <v>1218</v>
      </c>
      <c r="C416" t="str">
        <f>VLOOKUP(B416,[1]rt_remap_detail!$E$3:$F$4082,2,0)</f>
        <v>56-55-3</v>
      </c>
      <c r="D416" t="s">
        <v>1696</v>
      </c>
      <c r="E416" t="s">
        <v>1696</v>
      </c>
    </row>
    <row r="417" spans="1:5" customFormat="1" ht="12.75" x14ac:dyDescent="0.2">
      <c r="A417" s="10" t="s">
        <v>496</v>
      </c>
      <c r="B417" t="s">
        <v>1222</v>
      </c>
      <c r="C417" t="str">
        <f>VLOOKUP(B417,[1]rt_remap_detail!$E$3:$F$4082,2,0)</f>
        <v>92-87-5</v>
      </c>
      <c r="D417" t="s">
        <v>1696</v>
      </c>
      <c r="E417" t="s">
        <v>1696</v>
      </c>
    </row>
    <row r="418" spans="1:5" customFormat="1" ht="12.75" hidden="1" x14ac:dyDescent="0.2">
      <c r="A418" s="10" t="s">
        <v>983</v>
      </c>
      <c r="B418" t="s">
        <v>1411</v>
      </c>
      <c r="C418" t="str">
        <f>VLOOKUP(B418,[1]rt_remap_detail!$E$3:$F$4082,2,0)</f>
        <v>TOTBTEX</v>
      </c>
      <c r="D418" t="s">
        <v>1696</v>
      </c>
      <c r="E418" t="s">
        <v>1697</v>
      </c>
    </row>
    <row r="419" spans="1:5" customFormat="1" ht="12.75" x14ac:dyDescent="0.2">
      <c r="A419" s="10" t="s">
        <v>179</v>
      </c>
      <c r="B419" t="s">
        <v>1105</v>
      </c>
      <c r="C419" t="str">
        <f>VLOOKUP(B419,[1]rt_remap_detail!$E$3:$F$4082,2,0)</f>
        <v>71-43-2</v>
      </c>
      <c r="D419" t="s">
        <v>1696</v>
      </c>
      <c r="E419" t="s">
        <v>1696</v>
      </c>
    </row>
    <row r="420" spans="1:5" customFormat="1" ht="12.75" hidden="1" x14ac:dyDescent="0.2">
      <c r="A420" s="10" t="s">
        <v>972</v>
      </c>
      <c r="B420" t="s">
        <v>1658</v>
      </c>
      <c r="C420" t="str">
        <f>VLOOKUP(B420,[1]rt_remap_detail!$E$3:$F$4082,2,0)</f>
        <v>100-52-7</v>
      </c>
      <c r="D420" t="s">
        <v>1696</v>
      </c>
      <c r="E420" t="s">
        <v>1697</v>
      </c>
    </row>
    <row r="421" spans="1:5" customFormat="1" ht="12.75" hidden="1" x14ac:dyDescent="0.2">
      <c r="A421" s="10" t="s">
        <v>931</v>
      </c>
      <c r="B421" t="s">
        <v>1394</v>
      </c>
      <c r="C421" t="str">
        <f>VLOOKUP(B421,[1]rt_remap_detail!$E$3:$F$4082,2,0)</f>
        <v>98-87-3</v>
      </c>
      <c r="D421" t="s">
        <v>1696</v>
      </c>
      <c r="E421" t="s">
        <v>1697</v>
      </c>
    </row>
    <row r="422" spans="1:5" customFormat="1" ht="12.75" hidden="1" x14ac:dyDescent="0.2">
      <c r="A422" s="10" t="s">
        <v>896</v>
      </c>
      <c r="B422" t="s">
        <v>1631</v>
      </c>
      <c r="C422" t="str">
        <f>VLOOKUP(B422,[1]rt_remap_detail!$E$3:$F$4082,2,0)</f>
        <v>25057-89-0</v>
      </c>
      <c r="D422" t="s">
        <v>1696</v>
      </c>
      <c r="E422" t="s">
        <v>1697</v>
      </c>
    </row>
    <row r="423" spans="1:5" customFormat="1" ht="12.75" x14ac:dyDescent="0.2">
      <c r="A423" s="10" t="s">
        <v>235</v>
      </c>
      <c r="B423" t="s">
        <v>1206</v>
      </c>
      <c r="C423" t="str">
        <f>VLOOKUP(B423,[1]rt_remap_detail!$E$3:$F$4082,2,0)</f>
        <v>7440-39-3</v>
      </c>
      <c r="D423" t="s">
        <v>1696</v>
      </c>
      <c r="E423" t="s">
        <v>1696</v>
      </c>
    </row>
    <row r="424" spans="1:5" customFormat="1" ht="12.75" x14ac:dyDescent="0.2">
      <c r="A424" s="9" t="s">
        <v>455</v>
      </c>
      <c r="B424" t="s">
        <v>1205</v>
      </c>
      <c r="C424" t="str">
        <f>VLOOKUP(B424,[1]rt_remap_detail!$E$3:$F$4082,2,0)</f>
        <v>103-33-3</v>
      </c>
      <c r="D424" t="s">
        <v>1696</v>
      </c>
      <c r="E424" t="s">
        <v>1696</v>
      </c>
    </row>
    <row r="425" spans="1:5" customFormat="1" ht="12.75" x14ac:dyDescent="0.2">
      <c r="A425" s="9" t="s">
        <v>506</v>
      </c>
      <c r="B425" t="s">
        <v>1204</v>
      </c>
      <c r="C425" t="str">
        <f>VLOOKUP(B425,[1]rt_remap_detail!$E$3:$F$4082,2,0)</f>
        <v>86-50-0</v>
      </c>
      <c r="D425" t="s">
        <v>1696</v>
      </c>
      <c r="E425" t="s">
        <v>1696</v>
      </c>
    </row>
    <row r="426" spans="1:5" customFormat="1" ht="12.75" hidden="1" x14ac:dyDescent="0.2">
      <c r="A426" s="9" t="s">
        <v>915</v>
      </c>
      <c r="B426" t="s">
        <v>1642</v>
      </c>
      <c r="C426" t="str">
        <f>VLOOKUP(B426,[1]rt_remap_detail!$E$3:$F$4082,2,0)</f>
        <v>1912-24-9</v>
      </c>
      <c r="D426" t="s">
        <v>1696</v>
      </c>
      <c r="E426" t="s">
        <v>1697</v>
      </c>
    </row>
    <row r="427" spans="1:5" customFormat="1" ht="12.75" x14ac:dyDescent="0.2">
      <c r="A427" s="9" t="s">
        <v>367</v>
      </c>
      <c r="B427" t="s">
        <v>1203</v>
      </c>
      <c r="C427" t="str">
        <f>VLOOKUP(B427,[1]rt_remap_detail!$E$3:$F$4082,2,0)</f>
        <v>7440-38-2</v>
      </c>
      <c r="D427" t="s">
        <v>1696</v>
      </c>
      <c r="E427" t="s">
        <v>1696</v>
      </c>
    </row>
    <row r="428" spans="1:5" customFormat="1" ht="12.75" hidden="1" x14ac:dyDescent="0.2">
      <c r="A428" s="10" t="s">
        <v>1014</v>
      </c>
      <c r="B428" t="s">
        <v>1669</v>
      </c>
      <c r="C428" t="str">
        <f>VLOOKUP(B428,[1]rt_remap_detail!$E$3:$F$4082,2,0)</f>
        <v>140-57-8</v>
      </c>
      <c r="D428" t="s">
        <v>1696</v>
      </c>
      <c r="E428" t="s">
        <v>1697</v>
      </c>
    </row>
    <row r="429" spans="1:5" customFormat="1" ht="12.75" x14ac:dyDescent="0.2">
      <c r="A429" s="9" t="s">
        <v>363</v>
      </c>
      <c r="B429" t="s">
        <v>1322</v>
      </c>
      <c r="C429" t="str">
        <f>VLOOKUP(B429,[1]rt_remap_detail!$E$3:$F$4082,2,0)</f>
        <v>7440-36-0</v>
      </c>
      <c r="D429" t="s">
        <v>1696</v>
      </c>
      <c r="E429" t="s">
        <v>1696</v>
      </c>
    </row>
    <row r="430" spans="1:5" customFormat="1" ht="12.75" x14ac:dyDescent="0.2">
      <c r="A430" s="9" t="s">
        <v>321</v>
      </c>
      <c r="B430" t="s">
        <v>1202</v>
      </c>
      <c r="C430" t="str">
        <f>VLOOKUP(B430,[1]rt_remap_detail!$E$3:$F$4082,2,0)</f>
        <v>120-12-7</v>
      </c>
      <c r="D430" t="s">
        <v>1696</v>
      </c>
      <c r="E430" t="s">
        <v>1696</v>
      </c>
    </row>
    <row r="431" spans="1:5" customFormat="1" ht="12.75" x14ac:dyDescent="0.2">
      <c r="A431" s="9" t="s">
        <v>431</v>
      </c>
      <c r="B431" t="s">
        <v>1201</v>
      </c>
      <c r="C431" t="str">
        <f>VLOOKUP(B431,[1]rt_remap_detail!$E$3:$F$4082,2,0)</f>
        <v>62-53-3</v>
      </c>
      <c r="D431" t="s">
        <v>1696</v>
      </c>
      <c r="E431" t="s">
        <v>1696</v>
      </c>
    </row>
    <row r="432" spans="1:5" customFormat="1" ht="12.75" hidden="1" x14ac:dyDescent="0.2">
      <c r="A432" s="10" t="s">
        <v>618</v>
      </c>
      <c r="B432" t="s">
        <v>1547</v>
      </c>
      <c r="C432" t="str">
        <f>VLOOKUP(B432,[1]rt_remap_detail!$E$3:$F$4082,2,0)</f>
        <v>7664-41-7</v>
      </c>
      <c r="D432" t="s">
        <v>1696</v>
      </c>
      <c r="E432" t="s">
        <v>1697</v>
      </c>
    </row>
    <row r="433" spans="1:5" customFormat="1" ht="12.75" hidden="1" x14ac:dyDescent="0.2">
      <c r="A433" s="9" t="s">
        <v>1026</v>
      </c>
      <c r="B433" t="s">
        <v>1673</v>
      </c>
      <c r="C433" t="str">
        <f>VLOOKUP(B433,[1]rt_remap_detail!$E$3:$F$4082,2,0)</f>
        <v>57-12-5A</v>
      </c>
      <c r="D433" t="s">
        <v>1696</v>
      </c>
      <c r="E433" t="s">
        <v>1697</v>
      </c>
    </row>
    <row r="434" spans="1:5" customFormat="1" ht="12.75" hidden="1" x14ac:dyDescent="0.2">
      <c r="A434" s="10" t="s">
        <v>258</v>
      </c>
      <c r="B434" t="s">
        <v>1423</v>
      </c>
      <c r="C434" t="str">
        <f>VLOOKUP(B434,[1]rt_remap_detail!$E$3:$F$4082,2,0)</f>
        <v>7429-90-5</v>
      </c>
      <c r="D434" t="s">
        <v>1696</v>
      </c>
      <c r="E434" t="s">
        <v>1697</v>
      </c>
    </row>
    <row r="435" spans="1:5" customFormat="1" ht="12.75" hidden="1" x14ac:dyDescent="0.2">
      <c r="A435" s="10" t="s">
        <v>607</v>
      </c>
      <c r="B435" t="s">
        <v>1545</v>
      </c>
      <c r="C435" t="str">
        <f>VLOOKUP(B435,[1]rt_remap_detail!$E$3:$F$4082,2,0)</f>
        <v>98-55-5</v>
      </c>
      <c r="D435" t="s">
        <v>1696</v>
      </c>
      <c r="E435" t="s">
        <v>1697</v>
      </c>
    </row>
    <row r="436" spans="1:5" customFormat="1" ht="12.75" hidden="1" x14ac:dyDescent="0.2">
      <c r="A436" s="10" t="s">
        <v>238</v>
      </c>
      <c r="B436" t="s">
        <v>1416</v>
      </c>
      <c r="C436" t="str">
        <f>VLOOKUP(B436,[1]rt_remap_detail!$E$3:$F$4082,2,0)</f>
        <v>80-56-8</v>
      </c>
      <c r="D436" t="s">
        <v>1696</v>
      </c>
      <c r="E436" t="s">
        <v>1697</v>
      </c>
    </row>
    <row r="437" spans="1:5" customFormat="1" ht="12.75" hidden="1" x14ac:dyDescent="0.2">
      <c r="A437" s="10" t="s">
        <v>249</v>
      </c>
      <c r="B437" t="s">
        <v>1419</v>
      </c>
      <c r="C437" t="str">
        <f>VLOOKUP(B437,[1]rt_remap_detail!$E$3:$F$4082,2,0)</f>
        <v>100-44-7</v>
      </c>
      <c r="D437" t="s">
        <v>1696</v>
      </c>
      <c r="E437" t="s">
        <v>1697</v>
      </c>
    </row>
    <row r="438" spans="1:5" customFormat="1" ht="12.75" hidden="1" x14ac:dyDescent="0.2">
      <c r="A438" s="9" t="s">
        <v>414</v>
      </c>
      <c r="B438" t="s">
        <v>1467</v>
      </c>
      <c r="C438" t="str">
        <f>VLOOKUP(B438,[1]rt_remap_detail!$E$3:$F$4082,2,0)</f>
        <v>5103-71-9</v>
      </c>
      <c r="D438" t="s">
        <v>1696</v>
      </c>
      <c r="E438" t="s">
        <v>1697</v>
      </c>
    </row>
    <row r="439" spans="1:5" customFormat="1" ht="12.75" x14ac:dyDescent="0.2">
      <c r="A439" s="9" t="s">
        <v>402</v>
      </c>
      <c r="B439" t="s">
        <v>1210</v>
      </c>
      <c r="C439" t="str">
        <f>VLOOKUP(B439,[1]rt_remap_detail!$E$3:$F$4082,2,0)</f>
        <v>319-84-6</v>
      </c>
      <c r="D439" t="s">
        <v>1696</v>
      </c>
      <c r="E439" t="s">
        <v>1696</v>
      </c>
    </row>
    <row r="440" spans="1:5" customFormat="1" ht="12.75" hidden="1" x14ac:dyDescent="0.2">
      <c r="A440" s="10" t="s">
        <v>465</v>
      </c>
      <c r="B440" t="s">
        <v>1490</v>
      </c>
      <c r="C440" t="str">
        <f>VLOOKUP(B440,[1]rt_remap_detail!$E$3:$F$4082,2,0)</f>
        <v>107-05-1</v>
      </c>
      <c r="D440" t="s">
        <v>1696</v>
      </c>
      <c r="E440" t="s">
        <v>1697</v>
      </c>
    </row>
    <row r="441" spans="1:5" customFormat="1" ht="12.75" hidden="1" x14ac:dyDescent="0.2">
      <c r="A441" s="10" t="s">
        <v>1048</v>
      </c>
      <c r="B441" t="s">
        <v>1680</v>
      </c>
      <c r="C441" t="str">
        <f>VLOOKUP(B441,[1]rt_remap_detail!$E$3:$F$4082,2,0)</f>
        <v>107-18-6</v>
      </c>
      <c r="D441" t="s">
        <v>1696</v>
      </c>
      <c r="E441" t="s">
        <v>1697</v>
      </c>
    </row>
    <row r="442" spans="1:5" customFormat="1" ht="12.75" x14ac:dyDescent="0.2">
      <c r="A442" s="10" t="s">
        <v>296</v>
      </c>
      <c r="B442" t="s">
        <v>1710</v>
      </c>
      <c r="C442" t="s">
        <v>1711</v>
      </c>
      <c r="D442" t="s">
        <v>1696</v>
      </c>
      <c r="E442" t="s">
        <v>1696</v>
      </c>
    </row>
    <row r="443" spans="1:5" customFormat="1" ht="12.75" hidden="1" x14ac:dyDescent="0.2">
      <c r="A443" s="9" t="s">
        <v>621</v>
      </c>
      <c r="B443" t="s">
        <v>1352</v>
      </c>
      <c r="C443" t="e">
        <f>VLOOKUP(B443,[1]rt_remap_detail!$E$3:$F$4082,2,0)</f>
        <v>#N/A</v>
      </c>
      <c r="D443" t="s">
        <v>1696</v>
      </c>
      <c r="E443" t="s">
        <v>1697</v>
      </c>
    </row>
    <row r="444" spans="1:5" customFormat="1" ht="12.75" x14ac:dyDescent="0.2">
      <c r="A444" s="9" t="s">
        <v>404</v>
      </c>
      <c r="B444" t="s">
        <v>1200</v>
      </c>
      <c r="C444" t="str">
        <f>VLOOKUP(B444,[1]rt_remap_detail!$E$3:$F$4082,2,0)</f>
        <v>309-00-2</v>
      </c>
      <c r="D444" t="s">
        <v>1696</v>
      </c>
      <c r="E444" t="s">
        <v>1696</v>
      </c>
    </row>
    <row r="445" spans="1:5" customFormat="1" ht="12.75" hidden="1" x14ac:dyDescent="0.2">
      <c r="A445" s="9" t="s">
        <v>840</v>
      </c>
      <c r="B445" t="s">
        <v>1624</v>
      </c>
      <c r="C445" t="str">
        <f>VLOOKUP(B445,[1]rt_remap_detail!$E$3:$F$4082,2,0)</f>
        <v>15972-60-8</v>
      </c>
      <c r="D445" t="s">
        <v>1696</v>
      </c>
      <c r="E445" t="s">
        <v>1697</v>
      </c>
    </row>
    <row r="446" spans="1:5" customFormat="1" ht="12.75" hidden="1" x14ac:dyDescent="0.2">
      <c r="A446" s="10" t="s">
        <v>240</v>
      </c>
      <c r="B446" t="s">
        <v>1418</v>
      </c>
      <c r="C446" t="str">
        <f>VLOOKUP(B446,[1]rt_remap_detail!$E$3:$F$4082,2,0)</f>
        <v>107-13-1</v>
      </c>
      <c r="D446" t="s">
        <v>1696</v>
      </c>
      <c r="E446" t="s">
        <v>1697</v>
      </c>
    </row>
    <row r="447" spans="1:5" customFormat="1" ht="12.75" hidden="1" x14ac:dyDescent="0.2">
      <c r="A447" s="9" t="s">
        <v>1007</v>
      </c>
      <c r="B447" t="s">
        <v>1665</v>
      </c>
      <c r="C447" t="str">
        <f>VLOOKUP(B447,[1]rt_remap_detail!$E$3:$F$4082,2,0)</f>
        <v>79-06-1</v>
      </c>
      <c r="D447" t="s">
        <v>1696</v>
      </c>
      <c r="E447" t="s">
        <v>1697</v>
      </c>
    </row>
    <row r="448" spans="1:5" customFormat="1" ht="12.75" hidden="1" x14ac:dyDescent="0.2">
      <c r="A448" s="10" t="s">
        <v>379</v>
      </c>
      <c r="B448" t="s">
        <v>1460</v>
      </c>
      <c r="C448" t="str">
        <f>VLOOKUP(B448,[1]rt_remap_detail!$E$3:$F$4082,2,0)</f>
        <v>107-02-8</v>
      </c>
      <c r="D448" t="s">
        <v>1696</v>
      </c>
      <c r="E448" t="s">
        <v>1697</v>
      </c>
    </row>
    <row r="449" spans="1:7" customFormat="1" ht="12.75" hidden="1" x14ac:dyDescent="0.2">
      <c r="A449" s="10" t="s">
        <v>459</v>
      </c>
      <c r="B449" t="s">
        <v>1486</v>
      </c>
      <c r="C449" t="str">
        <f>VLOOKUP(B449,[1]rt_remap_detail!$E$3:$F$4082,2,0)</f>
        <v>50594-66-6</v>
      </c>
      <c r="D449" t="s">
        <v>1696</v>
      </c>
      <c r="E449" t="s">
        <v>1697</v>
      </c>
    </row>
    <row r="450" spans="1:7" customFormat="1" ht="12.75" hidden="1" x14ac:dyDescent="0.2">
      <c r="A450" s="9" t="s">
        <v>1017</v>
      </c>
      <c r="B450" t="s">
        <v>1381</v>
      </c>
      <c r="C450" t="e">
        <f>VLOOKUP(B450,[1]rt_remap_detail!$E$3:$F$4082,2,0)</f>
        <v>#N/A</v>
      </c>
      <c r="D450" t="s">
        <v>1696</v>
      </c>
      <c r="E450" t="s">
        <v>1697</v>
      </c>
    </row>
    <row r="451" spans="1:7" customFormat="1" ht="12.75" hidden="1" x14ac:dyDescent="0.2">
      <c r="A451" s="10" t="s">
        <v>552</v>
      </c>
      <c r="B451" t="s">
        <v>1522</v>
      </c>
      <c r="C451" t="str">
        <f>VLOOKUP(B451,[1]rt_remap_detail!$E$3:$F$4082,2,0)</f>
        <v>98-86-2</v>
      </c>
      <c r="D451" t="s">
        <v>1696</v>
      </c>
      <c r="E451" t="s">
        <v>1697</v>
      </c>
    </row>
    <row r="452" spans="1:7" customFormat="1" ht="12.75" hidden="1" x14ac:dyDescent="0.2">
      <c r="A452" s="9" t="s">
        <v>466</v>
      </c>
      <c r="B452" t="s">
        <v>1491</v>
      </c>
      <c r="C452" t="str">
        <f>VLOOKUP(B452,[1]rt_remap_detail!$E$3:$F$4082,2,0)</f>
        <v>75-05-8</v>
      </c>
      <c r="D452" t="s">
        <v>1696</v>
      </c>
      <c r="E452" t="s">
        <v>1697</v>
      </c>
    </row>
    <row r="453" spans="1:7" customFormat="1" ht="12.75" x14ac:dyDescent="0.2">
      <c r="A453" s="9" t="s">
        <v>202</v>
      </c>
      <c r="B453" t="s">
        <v>1115</v>
      </c>
      <c r="C453" t="str">
        <f>VLOOKUP(B453,[1]rt_remap_detail!$E$3:$F$4082,2,0)</f>
        <v>67-64-1</v>
      </c>
      <c r="D453" t="s">
        <v>1696</v>
      </c>
      <c r="E453" t="s">
        <v>1696</v>
      </c>
    </row>
    <row r="454" spans="1:7" customFormat="1" ht="12.75" hidden="1" x14ac:dyDescent="0.2">
      <c r="A454" s="9" t="s">
        <v>376</v>
      </c>
      <c r="B454" t="s">
        <v>1458</v>
      </c>
      <c r="C454" t="str">
        <f>VLOOKUP(B454,[1]rt_remap_detail!$E$3:$F$4082,2,0)</f>
        <v>64-19-7</v>
      </c>
      <c r="D454" t="s">
        <v>1696</v>
      </c>
      <c r="E454" t="s">
        <v>1697</v>
      </c>
    </row>
    <row r="455" spans="1:7" customFormat="1" ht="12.75" x14ac:dyDescent="0.2">
      <c r="A455" s="10" t="s">
        <v>347</v>
      </c>
      <c r="B455" t="s">
        <v>1198</v>
      </c>
      <c r="C455" t="str">
        <f>VLOOKUP(B455,[1]rt_remap_detail!$E$3:$F$4082,2,0)</f>
        <v>208-96-8</v>
      </c>
      <c r="D455" t="s">
        <v>1696</v>
      </c>
      <c r="E455" t="s">
        <v>1696</v>
      </c>
    </row>
    <row r="456" spans="1:7" customFormat="1" ht="12.75" x14ac:dyDescent="0.2">
      <c r="A456" s="10" t="s">
        <v>338</v>
      </c>
      <c r="B456" t="s">
        <v>1197</v>
      </c>
      <c r="C456" t="str">
        <f>VLOOKUP(B456,[1]rt_remap_detail!$E$3:$F$4082,2,0)</f>
        <v>83-32-9</v>
      </c>
      <c r="D456" t="s">
        <v>1696</v>
      </c>
      <c r="E456" t="s">
        <v>1696</v>
      </c>
    </row>
    <row r="457" spans="1:7" customFormat="1" ht="12.75" hidden="1" x14ac:dyDescent="0.2">
      <c r="A457" s="9" t="s">
        <v>582</v>
      </c>
      <c r="B457" t="s">
        <v>1537</v>
      </c>
      <c r="C457" t="str">
        <f>VLOOKUP(B457,[1]rt_remap_detail!$E$3:$F$4082,2,0)</f>
        <v>122-09-8</v>
      </c>
      <c r="D457" t="s">
        <v>1696</v>
      </c>
      <c r="E457" t="s">
        <v>1697</v>
      </c>
    </row>
    <row r="458" spans="1:7" x14ac:dyDescent="0.25">
      <c r="A458" s="16" t="s">
        <v>1186</v>
      </c>
      <c r="B458" s="16" t="s">
        <v>1187</v>
      </c>
      <c r="C458" s="16" t="s">
        <v>1726</v>
      </c>
      <c r="E458" s="16" t="s">
        <v>1696</v>
      </c>
      <c r="F458" s="16" t="s">
        <v>1712</v>
      </c>
      <c r="G458" s="16" t="s">
        <v>1713</v>
      </c>
    </row>
    <row r="459" spans="1:7" customFormat="1" ht="12.75" hidden="1" x14ac:dyDescent="0.2">
      <c r="A459" s="14" t="s">
        <v>551</v>
      </c>
      <c r="B459" t="s">
        <v>1521</v>
      </c>
      <c r="C459" t="str">
        <f>VLOOKUP(B459,[1]rt_remap_detail!$E$3:$F$4082,2,0)</f>
        <v>57-97-6</v>
      </c>
      <c r="D459" t="s">
        <v>1696</v>
      </c>
      <c r="E459" t="s">
        <v>1697</v>
      </c>
    </row>
    <row r="460" spans="1:7" customFormat="1" ht="12.75" hidden="1" x14ac:dyDescent="0.2">
      <c r="A460" s="9" t="s">
        <v>568</v>
      </c>
      <c r="B460" t="s">
        <v>1529</v>
      </c>
      <c r="C460" t="str">
        <f>VLOOKUP(B460,[1]rt_remap_detail!$E$3:$F$4082,2,0)</f>
        <v>99-55-8</v>
      </c>
      <c r="D460" t="s">
        <v>1696</v>
      </c>
      <c r="E460" t="s">
        <v>1697</v>
      </c>
    </row>
    <row r="461" spans="1:7" customFormat="1" ht="12.75" hidden="1" x14ac:dyDescent="0.2">
      <c r="A461" s="10" t="s">
        <v>1073</v>
      </c>
      <c r="B461" t="s">
        <v>1686</v>
      </c>
      <c r="C461" t="str">
        <f>VLOOKUP(B461,[1]rt_remap_detail!$E$3:$F$4082,2,0)</f>
        <v>99-99-0</v>
      </c>
      <c r="D461" t="s">
        <v>1696</v>
      </c>
      <c r="E461" t="s">
        <v>1697</v>
      </c>
    </row>
    <row r="462" spans="1:7" customFormat="1" ht="12.75" x14ac:dyDescent="0.2">
      <c r="A462" s="9" t="s">
        <v>299</v>
      </c>
      <c r="B462" t="s">
        <v>1301</v>
      </c>
      <c r="C462" t="str">
        <f>VLOOKUP(B462,[1]rt_remap_detail!$E$3:$F$4082,2,0)</f>
        <v>100-02-7</v>
      </c>
      <c r="D462" t="s">
        <v>1696</v>
      </c>
      <c r="E462" t="s">
        <v>1696</v>
      </c>
    </row>
    <row r="463" spans="1:7" customFormat="1" ht="12.75" x14ac:dyDescent="0.2">
      <c r="A463" s="10" t="s">
        <v>351</v>
      </c>
      <c r="B463" t="s">
        <v>1296</v>
      </c>
      <c r="C463" t="str">
        <f>VLOOKUP(B463,[1]rt_remap_detail!$E$3:$F$4082,2,0)</f>
        <v>100-01-6</v>
      </c>
      <c r="D463" t="s">
        <v>1696</v>
      </c>
      <c r="E463" t="s">
        <v>1696</v>
      </c>
    </row>
    <row r="464" spans="1:7" customFormat="1" ht="12.75" hidden="1" x14ac:dyDescent="0.2">
      <c r="A464" s="9" t="s">
        <v>331</v>
      </c>
      <c r="B464" t="s">
        <v>1447</v>
      </c>
      <c r="C464" t="str">
        <f>VLOOKUP(B464,[1]rt_remap_detail!$E$3:$F$4082,2,0)</f>
        <v>106-44-5</v>
      </c>
      <c r="D464" t="s">
        <v>1696</v>
      </c>
      <c r="E464" t="s">
        <v>1697</v>
      </c>
    </row>
    <row r="465" spans="1:5" customFormat="1" ht="12.75" x14ac:dyDescent="0.2">
      <c r="A465" s="9" t="s">
        <v>237</v>
      </c>
      <c r="B465" t="s">
        <v>1160</v>
      </c>
      <c r="C465" t="str">
        <f>VLOOKUP(B465,[1]rt_remap_detail!$E$3:$F$4082,2,0)</f>
        <v>108-10-1</v>
      </c>
      <c r="D465" t="s">
        <v>1696</v>
      </c>
      <c r="E465" t="s">
        <v>1696</v>
      </c>
    </row>
    <row r="466" spans="1:5" customFormat="1" ht="12.75" x14ac:dyDescent="0.2">
      <c r="A466" s="10" t="s">
        <v>220</v>
      </c>
      <c r="B466" t="s">
        <v>1130</v>
      </c>
      <c r="C466" t="str">
        <f>VLOOKUP(B466,[1]rt_remap_detail!$E$3:$F$4082,2,0)</f>
        <v>25155-15-1</v>
      </c>
      <c r="D466" t="s">
        <v>1696</v>
      </c>
      <c r="E466" t="s">
        <v>1696</v>
      </c>
    </row>
    <row r="467" spans="1:5" customFormat="1" ht="12.75" hidden="1" x14ac:dyDescent="0.2">
      <c r="A467" s="9" t="s">
        <v>239</v>
      </c>
      <c r="B467" t="s">
        <v>1417</v>
      </c>
      <c r="C467" t="str">
        <f>VLOOKUP(B467,[1]rt_remap_detail!$E$3:$F$4082,2,0)</f>
        <v>622-96-8</v>
      </c>
      <c r="D467" t="s">
        <v>1696</v>
      </c>
      <c r="E467" t="s">
        <v>1697</v>
      </c>
    </row>
    <row r="468" spans="1:5" customFormat="1" ht="12.75" x14ac:dyDescent="0.2">
      <c r="A468" s="9" t="s">
        <v>213</v>
      </c>
      <c r="B468" t="s">
        <v>1126</v>
      </c>
      <c r="C468" t="str">
        <f>VLOOKUP(B468,[1]rt_remap_detail!$E$3:$F$4082,2,0)</f>
        <v>106-43-4</v>
      </c>
      <c r="D468" t="s">
        <v>1696</v>
      </c>
      <c r="E468" t="s">
        <v>1696</v>
      </c>
    </row>
    <row r="469" spans="1:5" customFormat="1" ht="12.75" x14ac:dyDescent="0.2">
      <c r="A469" s="10" t="s">
        <v>305</v>
      </c>
      <c r="B469" t="s">
        <v>1239</v>
      </c>
      <c r="C469" t="str">
        <f>VLOOKUP(B469,[1]rt_remap_detail!$E$3:$F$4082,2,0)</f>
        <v>7005-72-3</v>
      </c>
      <c r="D469" t="s">
        <v>1696</v>
      </c>
      <c r="E469" t="s">
        <v>1696</v>
      </c>
    </row>
    <row r="470" spans="1:5" customFormat="1" ht="12.75" x14ac:dyDescent="0.2">
      <c r="A470" s="9" t="s">
        <v>310</v>
      </c>
      <c r="B470" t="s">
        <v>1233</v>
      </c>
      <c r="C470" t="str">
        <f>VLOOKUP(B470,[1]rt_remap_detail!$E$3:$F$4082,2,0)</f>
        <v>106-47-8</v>
      </c>
      <c r="D470" t="s">
        <v>1696</v>
      </c>
      <c r="E470" t="s">
        <v>1696</v>
      </c>
    </row>
    <row r="471" spans="1:5" customFormat="1" ht="12.75" x14ac:dyDescent="0.2">
      <c r="A471" s="9" t="s">
        <v>349</v>
      </c>
      <c r="B471" t="s">
        <v>1226</v>
      </c>
      <c r="C471" t="str">
        <f>VLOOKUP(B471,[1]rt_remap_detail!$E$3:$F$4082,2,0)</f>
        <v>59-50-7</v>
      </c>
      <c r="D471" t="s">
        <v>1696</v>
      </c>
      <c r="E471" t="s">
        <v>1696</v>
      </c>
    </row>
    <row r="472" spans="1:5" customFormat="1" ht="12.75" x14ac:dyDescent="0.2">
      <c r="A472" s="9" t="s">
        <v>318</v>
      </c>
      <c r="B472" t="s">
        <v>1217</v>
      </c>
      <c r="C472" t="str">
        <f>VLOOKUP(B472,[1]rt_remap_detail!$E$3:$F$4082,2,0)</f>
        <v>101-55-3</v>
      </c>
      <c r="D472" t="s">
        <v>1696</v>
      </c>
      <c r="E472" t="s">
        <v>1696</v>
      </c>
    </row>
    <row r="473" spans="1:5" customFormat="1" ht="12.75" x14ac:dyDescent="0.2">
      <c r="A473" s="10" t="s">
        <v>1019</v>
      </c>
      <c r="B473" t="s">
        <v>1104</v>
      </c>
      <c r="C473" t="str">
        <f>VLOOKUP(B473,[1]rt_remap_detail!$E$3:$F$4082,2,0)</f>
        <v>460-00-4</v>
      </c>
      <c r="D473" t="s">
        <v>1696</v>
      </c>
      <c r="E473" t="s">
        <v>1696</v>
      </c>
    </row>
    <row r="474" spans="1:5" customFormat="1" ht="12.75" hidden="1" x14ac:dyDescent="0.2">
      <c r="A474" s="9" t="s">
        <v>302</v>
      </c>
      <c r="B474" t="s">
        <v>1446</v>
      </c>
      <c r="C474" t="str">
        <f>VLOOKUP(B474,[1]rt_remap_detail!$E$3:$F$4082,2,0)</f>
        <v>19406-51-0</v>
      </c>
      <c r="D474" t="s">
        <v>1696</v>
      </c>
      <c r="E474" t="s">
        <v>1697</v>
      </c>
    </row>
    <row r="475" spans="1:5" customFormat="1" ht="12.75" x14ac:dyDescent="0.2">
      <c r="A475" s="10" t="s">
        <v>405</v>
      </c>
      <c r="B475" t="s">
        <v>1248</v>
      </c>
      <c r="C475" t="str">
        <f>VLOOKUP(B475,[1]rt_remap_detail!$E$3:$F$4082,2,0)</f>
        <v>50-29-3</v>
      </c>
      <c r="D475" t="s">
        <v>1696</v>
      </c>
      <c r="E475" t="s">
        <v>1696</v>
      </c>
    </row>
    <row r="476" spans="1:5" customFormat="1" ht="12.75" x14ac:dyDescent="0.2">
      <c r="A476" s="9" t="s">
        <v>407</v>
      </c>
      <c r="B476" t="s">
        <v>1247</v>
      </c>
      <c r="C476" t="str">
        <f>VLOOKUP(B476,[1]rt_remap_detail!$E$3:$F$4082,2,0)</f>
        <v>72-55-9</v>
      </c>
      <c r="D476" t="s">
        <v>1696</v>
      </c>
      <c r="E476" t="s">
        <v>1696</v>
      </c>
    </row>
    <row r="477" spans="1:5" customFormat="1" ht="12.75" x14ac:dyDescent="0.2">
      <c r="A477" s="10" t="s">
        <v>417</v>
      </c>
      <c r="B477" t="s">
        <v>1246</v>
      </c>
      <c r="C477" t="str">
        <f>VLOOKUP(B477,[1]rt_remap_detail!$E$3:$F$4082,2,0)</f>
        <v>72-54-8</v>
      </c>
      <c r="D477" t="s">
        <v>1696</v>
      </c>
      <c r="E477" t="s">
        <v>1696</v>
      </c>
    </row>
    <row r="478" spans="1:5" customFormat="1" ht="12.75" x14ac:dyDescent="0.2">
      <c r="A478" s="9" t="s">
        <v>339</v>
      </c>
      <c r="B478" t="s">
        <v>1295</v>
      </c>
      <c r="C478" t="str">
        <f>VLOOKUP(B478,[1]rt_remap_detail!$E$3:$F$4082,2,0)</f>
        <v>99-09-2</v>
      </c>
      <c r="D478" t="s">
        <v>1696</v>
      </c>
      <c r="E478" t="s">
        <v>1696</v>
      </c>
    </row>
    <row r="479" spans="1:5" customFormat="1" ht="12.75" x14ac:dyDescent="0.2">
      <c r="A479" s="10" t="s">
        <v>525</v>
      </c>
      <c r="B479" t="s">
        <v>1282</v>
      </c>
      <c r="C479" t="str">
        <f>VLOOKUP(B479,[1]rt_remap_detail!$E$3:$F$4082,2,0)</f>
        <v>3METH4METH</v>
      </c>
      <c r="D479" t="s">
        <v>1696</v>
      </c>
      <c r="E479" t="s">
        <v>1696</v>
      </c>
    </row>
    <row r="480" spans="1:5" customFormat="1" ht="12.75" hidden="1" x14ac:dyDescent="0.2">
      <c r="A480" s="10" t="s">
        <v>883</v>
      </c>
      <c r="B480" t="s">
        <v>1628</v>
      </c>
      <c r="C480" t="str">
        <f>VLOOKUP(B480,[1]rt_remap_detail!$E$3:$F$4082,2,0)</f>
        <v>108-39-4</v>
      </c>
      <c r="D480" t="s">
        <v>1696</v>
      </c>
      <c r="E480" t="s">
        <v>1697</v>
      </c>
    </row>
    <row r="481" spans="1:5" customFormat="1" ht="12.75" hidden="1" x14ac:dyDescent="0.2">
      <c r="A481" s="10" t="s">
        <v>469</v>
      </c>
      <c r="B481" t="s">
        <v>1494</v>
      </c>
      <c r="C481" t="str">
        <f>VLOOKUP(B481,[1]rt_remap_detail!$E$3:$F$4082,2,0)</f>
        <v>56-49-5</v>
      </c>
      <c r="D481" t="s">
        <v>1696</v>
      </c>
      <c r="E481" t="s">
        <v>1697</v>
      </c>
    </row>
    <row r="482" spans="1:5" customFormat="1" ht="12.75" hidden="1" x14ac:dyDescent="0.2">
      <c r="A482" s="10" t="s">
        <v>916</v>
      </c>
      <c r="B482" t="s">
        <v>1643</v>
      </c>
      <c r="C482" t="str">
        <f>VLOOKUP(B482,[1]rt_remap_detail!$E$3:$F$4082,2,0)</f>
        <v>51-36-5</v>
      </c>
      <c r="D482" t="s">
        <v>1696</v>
      </c>
      <c r="E482" t="s">
        <v>1697</v>
      </c>
    </row>
    <row r="483" spans="1:5" customFormat="1" ht="12.75" hidden="1" x14ac:dyDescent="0.2">
      <c r="A483" s="9" t="s">
        <v>1056</v>
      </c>
      <c r="B483" t="s">
        <v>1681</v>
      </c>
      <c r="C483" t="str">
        <f>VLOOKUP(B483,[1]rt_remap_detail!$E$3:$F$4082,2,0)</f>
        <v>70362-50-4</v>
      </c>
      <c r="D483" t="s">
        <v>1696</v>
      </c>
      <c r="E483" t="s">
        <v>1697</v>
      </c>
    </row>
    <row r="484" spans="1:5" customFormat="1" ht="12.75" x14ac:dyDescent="0.2">
      <c r="A484" s="9" t="s">
        <v>585</v>
      </c>
      <c r="B484" t="s">
        <v>1244</v>
      </c>
      <c r="C484" t="str">
        <f>VLOOKUP(B484,[1]rt_remap_detail!$E$3:$F$4082,2,0)</f>
        <v>91-94-1</v>
      </c>
      <c r="D484" t="s">
        <v>1696</v>
      </c>
      <c r="E484" t="s">
        <v>1696</v>
      </c>
    </row>
    <row r="485" spans="1:5" customFormat="1" ht="12.75" hidden="1" x14ac:dyDescent="0.2">
      <c r="A485" s="10" t="s">
        <v>906</v>
      </c>
      <c r="B485" t="s">
        <v>1637</v>
      </c>
      <c r="C485" t="str">
        <f>VLOOKUP(B485,[1]rt_remap_detail!$E$3:$F$4082,2,0)</f>
        <v>32598-13-3</v>
      </c>
      <c r="D485" t="s">
        <v>1696</v>
      </c>
      <c r="E485" t="s">
        <v>1697</v>
      </c>
    </row>
    <row r="486" spans="1:5" customFormat="1" ht="12.75" hidden="1" x14ac:dyDescent="0.2">
      <c r="A486" s="10" t="s">
        <v>904</v>
      </c>
      <c r="B486" t="s">
        <v>1635</v>
      </c>
      <c r="C486" t="str">
        <f>VLOOKUP(B486,[1]rt_remap_detail!$E$3:$F$4082,2,0)</f>
        <v>57465-28-8</v>
      </c>
      <c r="D486" t="s">
        <v>1696</v>
      </c>
      <c r="E486" t="s">
        <v>1697</v>
      </c>
    </row>
    <row r="487" spans="1:5" customFormat="1" ht="12.75" hidden="1" x14ac:dyDescent="0.2">
      <c r="A487" s="10" t="s">
        <v>967</v>
      </c>
      <c r="B487" t="s">
        <v>1657</v>
      </c>
      <c r="C487" t="str">
        <f>VLOOKUP(B487,[1]rt_remap_detail!$E$3:$F$4082,2,0)</f>
        <v>32774-16-6</v>
      </c>
      <c r="D487" t="s">
        <v>1696</v>
      </c>
      <c r="E487" t="s">
        <v>1697</v>
      </c>
    </row>
    <row r="488" spans="1:5" customFormat="1" ht="12.75" hidden="1" x14ac:dyDescent="0.2">
      <c r="A488" s="10" t="s">
        <v>688</v>
      </c>
      <c r="B488" t="s">
        <v>1576</v>
      </c>
      <c r="C488" t="str">
        <f>VLOOKUP(B488,[1]rt_remap_detail!$E$3:$F$4082,2,0)</f>
        <v>67-63-0</v>
      </c>
      <c r="D488" t="s">
        <v>1696</v>
      </c>
      <c r="E488" t="s">
        <v>1697</v>
      </c>
    </row>
    <row r="489" spans="1:5" customFormat="1" ht="12.75" hidden="1" x14ac:dyDescent="0.2">
      <c r="A489" s="9" t="s">
        <v>1013</v>
      </c>
      <c r="B489" t="s">
        <v>1668</v>
      </c>
      <c r="C489" t="str">
        <f>VLOOKUP(B489,[1]rt_remap_detail!$E$3:$F$4082,2,0)</f>
        <v>109-06-8</v>
      </c>
      <c r="D489" t="s">
        <v>1696</v>
      </c>
      <c r="E489" t="s">
        <v>1697</v>
      </c>
    </row>
    <row r="490" spans="1:5" customFormat="1" ht="12.75" x14ac:dyDescent="0.2">
      <c r="A490" s="9" t="s">
        <v>324</v>
      </c>
      <c r="B490" t="s">
        <v>1300</v>
      </c>
      <c r="C490" t="str">
        <f>VLOOKUP(B490,[1]rt_remap_detail!$E$3:$F$4082,2,0)</f>
        <v>88-75-5</v>
      </c>
      <c r="D490" t="s">
        <v>1696</v>
      </c>
      <c r="E490" t="s">
        <v>1696</v>
      </c>
    </row>
    <row r="491" spans="1:5" customFormat="1" ht="12.75" x14ac:dyDescent="0.2">
      <c r="A491" s="9" t="s">
        <v>164</v>
      </c>
      <c r="B491" t="s">
        <v>1294</v>
      </c>
      <c r="C491" t="str">
        <f>VLOOKUP(B491,[1]rt_remap_detail!$E$3:$F$4082,2,0)</f>
        <v>88-74-4</v>
      </c>
      <c r="D491" t="s">
        <v>1696</v>
      </c>
      <c r="E491" t="s">
        <v>1696</v>
      </c>
    </row>
    <row r="492" spans="1:5" customFormat="1" ht="12.75" hidden="1" x14ac:dyDescent="0.2">
      <c r="A492" s="10" t="s">
        <v>468</v>
      </c>
      <c r="B492" t="s">
        <v>1493</v>
      </c>
      <c r="C492" t="str">
        <f>VLOOKUP(B492,[1]rt_remap_detail!$E$3:$F$4082,2,0)</f>
        <v>91-59-8</v>
      </c>
      <c r="D492" t="s">
        <v>1696</v>
      </c>
      <c r="E492" t="s">
        <v>1697</v>
      </c>
    </row>
    <row r="493" spans="1:5" customFormat="1" ht="12.75" x14ac:dyDescent="0.2">
      <c r="A493" s="10" t="s">
        <v>399</v>
      </c>
      <c r="B493" t="s">
        <v>1281</v>
      </c>
      <c r="C493" t="str">
        <f>VLOOKUP(B493,[1]rt_remap_detail!$E$3:$F$4082,2,0)</f>
        <v>95-48-7</v>
      </c>
      <c r="D493" t="s">
        <v>1696</v>
      </c>
      <c r="E493" t="s">
        <v>1696</v>
      </c>
    </row>
    <row r="494" spans="1:5" customFormat="1" ht="12.75" hidden="1" x14ac:dyDescent="0.2">
      <c r="A494" s="9" t="s">
        <v>1046</v>
      </c>
      <c r="B494" t="s">
        <v>1386</v>
      </c>
      <c r="C494" t="e">
        <f>VLOOKUP(B494,[1]rt_remap_detail!$E$3:$F$4082,2,0)</f>
        <v>#N/A</v>
      </c>
      <c r="D494" t="s">
        <v>1696</v>
      </c>
      <c r="E494" t="s">
        <v>1697</v>
      </c>
    </row>
    <row r="495" spans="1:5" customFormat="1" ht="12.75" x14ac:dyDescent="0.2">
      <c r="A495" s="10" t="s">
        <v>336</v>
      </c>
      <c r="B495" t="s">
        <v>1287</v>
      </c>
      <c r="C495" t="str">
        <f>VLOOKUP(B495,[1]rt_remap_detail!$E$3:$F$4082,2,0)</f>
        <v>91-57-6</v>
      </c>
      <c r="D495" t="s">
        <v>1696</v>
      </c>
      <c r="E495" t="s">
        <v>1696</v>
      </c>
    </row>
    <row r="496" spans="1:5" customFormat="1" ht="12.75" hidden="1" x14ac:dyDescent="0.2">
      <c r="A496" s="10" t="s">
        <v>979</v>
      </c>
      <c r="B496" t="s">
        <v>1403</v>
      </c>
      <c r="C496" t="str">
        <f>VLOOKUP(B496,[1]rt_remap_detail!$E$3:$F$4082,2,0)</f>
        <v>78-78-4</v>
      </c>
      <c r="D496" t="s">
        <v>1696</v>
      </c>
      <c r="E496" t="s">
        <v>1697</v>
      </c>
    </row>
    <row r="497" spans="1:7" customFormat="1" ht="12.75" x14ac:dyDescent="0.2">
      <c r="A497" s="12" t="s">
        <v>357</v>
      </c>
      <c r="B497" s="13" t="s">
        <v>1257</v>
      </c>
      <c r="C497" s="13" t="s">
        <v>1716</v>
      </c>
      <c r="D497" t="s">
        <v>1696</v>
      </c>
      <c r="E497" s="13" t="s">
        <v>1696</v>
      </c>
      <c r="F497" s="13"/>
      <c r="G497" s="13" t="s">
        <v>1715</v>
      </c>
    </row>
    <row r="498" spans="1:7" customFormat="1" ht="12.75" hidden="1" x14ac:dyDescent="0.2">
      <c r="A498" s="10" t="s">
        <v>920</v>
      </c>
      <c r="B498" t="s">
        <v>1370</v>
      </c>
      <c r="C498" t="e">
        <f>VLOOKUP(B498,[1]rt_remap_detail!$E$3:$F$4082,2,0)</f>
        <v>#N/A</v>
      </c>
      <c r="D498" t="s">
        <v>1696</v>
      </c>
      <c r="E498" t="s">
        <v>1697</v>
      </c>
    </row>
    <row r="499" spans="1:7" customFormat="1" ht="12.75" x14ac:dyDescent="0.2">
      <c r="A499" s="9" t="s">
        <v>228</v>
      </c>
      <c r="B499" t="s">
        <v>1157</v>
      </c>
      <c r="C499" t="str">
        <f>VLOOKUP(B499,[1]rt_remap_detail!$E$3:$F$4082,2,0)</f>
        <v>591-78-6</v>
      </c>
      <c r="D499" t="s">
        <v>1696</v>
      </c>
      <c r="E499" t="s">
        <v>1696</v>
      </c>
    </row>
    <row r="500" spans="1:7" customFormat="1" ht="12.75" x14ac:dyDescent="0.2">
      <c r="A500" s="10" t="s">
        <v>1307</v>
      </c>
      <c r="B500" t="s">
        <v>1308</v>
      </c>
      <c r="C500" t="str">
        <f>VLOOKUP(B500,[1]rt_remap_detail!$E$3:$F$4082,2,0)</f>
        <v>367-12-4</v>
      </c>
      <c r="E500" t="s">
        <v>1696</v>
      </c>
    </row>
    <row r="501" spans="1:7" customFormat="1" ht="12.75" x14ac:dyDescent="0.2">
      <c r="A501" s="10" t="s">
        <v>1311</v>
      </c>
      <c r="B501" t="s">
        <v>1312</v>
      </c>
      <c r="C501" t="str">
        <f>VLOOKUP(B501,[1]rt_remap_detail!$E$3:$F$4082,2,0)</f>
        <v>321-60-8</v>
      </c>
      <c r="E501" t="s">
        <v>1696</v>
      </c>
    </row>
    <row r="502" spans="1:7" customFormat="1" ht="12.75" x14ac:dyDescent="0.2">
      <c r="A502" s="9" t="s">
        <v>252</v>
      </c>
      <c r="B502" t="s">
        <v>1125</v>
      </c>
      <c r="C502" t="str">
        <f>VLOOKUP(B502,[1]rt_remap_detail!$E$3:$F$4082,2,0)</f>
        <v>95-49-8</v>
      </c>
      <c r="D502" t="s">
        <v>1696</v>
      </c>
      <c r="E502" t="s">
        <v>1696</v>
      </c>
    </row>
    <row r="503" spans="1:7" customFormat="1" ht="12.75" x14ac:dyDescent="0.2">
      <c r="A503" s="9" t="s">
        <v>350</v>
      </c>
      <c r="B503" t="s">
        <v>1234</v>
      </c>
      <c r="C503" t="str">
        <f>VLOOKUP(B503,[1]rt_remap_detail!$E$3:$F$4082,2,0)</f>
        <v>95-57-8</v>
      </c>
      <c r="D503" t="s">
        <v>1696</v>
      </c>
      <c r="E503" t="s">
        <v>1696</v>
      </c>
    </row>
    <row r="504" spans="1:7" customFormat="1" ht="12.75" x14ac:dyDescent="0.2">
      <c r="A504" s="9" t="s">
        <v>332</v>
      </c>
      <c r="B504" t="s">
        <v>1236</v>
      </c>
      <c r="C504" t="str">
        <f>VLOOKUP(B504,[1]rt_remap_detail!$E$3:$F$4082,2,0)</f>
        <v>91-58-7</v>
      </c>
      <c r="D504" t="s">
        <v>1696</v>
      </c>
      <c r="E504" t="s">
        <v>1696</v>
      </c>
    </row>
    <row r="505" spans="1:7" customFormat="1" ht="12.75" hidden="1" x14ac:dyDescent="0.2">
      <c r="A505" s="9" t="s">
        <v>442</v>
      </c>
      <c r="B505" t="s">
        <v>1476</v>
      </c>
      <c r="C505" t="str">
        <f>VLOOKUP(B505,[1]rt_remap_detail!$E$3:$F$4082,2,0)</f>
        <v>110-75-8</v>
      </c>
      <c r="D505" t="s">
        <v>1696</v>
      </c>
      <c r="E505" t="s">
        <v>1697</v>
      </c>
    </row>
    <row r="506" spans="1:7" customFormat="1" ht="12.75" x14ac:dyDescent="0.2">
      <c r="A506" s="9" t="s">
        <v>206</v>
      </c>
      <c r="B506" t="s">
        <v>1159</v>
      </c>
      <c r="C506" t="str">
        <f>VLOOKUP(B506,[1]rt_remap_detail!$E$3:$F$4082,2,0)</f>
        <v>78-93-3</v>
      </c>
      <c r="D506" t="s">
        <v>1696</v>
      </c>
      <c r="E506" t="s">
        <v>1696</v>
      </c>
    </row>
    <row r="507" spans="1:7" customFormat="1" ht="12.75" x14ac:dyDescent="0.2">
      <c r="A507" s="10" t="s">
        <v>340</v>
      </c>
      <c r="B507" t="s">
        <v>1262</v>
      </c>
      <c r="C507" t="str">
        <f>VLOOKUP(B507,[1]rt_remap_detail!$E$3:$F$4082,2,0)</f>
        <v>606-20-2</v>
      </c>
      <c r="D507" t="s">
        <v>1696</v>
      </c>
      <c r="E507" t="s">
        <v>1696</v>
      </c>
    </row>
    <row r="508" spans="1:7" customFormat="1" ht="12.75" hidden="1" x14ac:dyDescent="0.2">
      <c r="A508" s="10" t="s">
        <v>533</v>
      </c>
      <c r="B508" t="s">
        <v>1514</v>
      </c>
      <c r="C508" t="str">
        <f>VLOOKUP(B508,[1]rt_remap_detail!$E$3:$F$4082,2,0)</f>
        <v>87-65-0</v>
      </c>
      <c r="D508" t="s">
        <v>1696</v>
      </c>
      <c r="E508" t="s">
        <v>1697</v>
      </c>
    </row>
    <row r="509" spans="1:7" customFormat="1" ht="12.75" x14ac:dyDescent="0.2">
      <c r="A509" s="9" t="s">
        <v>314</v>
      </c>
      <c r="B509" t="s">
        <v>1261</v>
      </c>
      <c r="C509" t="str">
        <f>VLOOKUP(B509,[1]rt_remap_detail!$E$3:$F$4082,2,0)</f>
        <v>121-14-2</v>
      </c>
      <c r="D509" t="s">
        <v>1696</v>
      </c>
      <c r="E509" t="s">
        <v>1696</v>
      </c>
    </row>
    <row r="510" spans="1:7" customFormat="1" ht="12.75" x14ac:dyDescent="0.2">
      <c r="A510" s="10" t="s">
        <v>306</v>
      </c>
      <c r="B510" t="s">
        <v>1260</v>
      </c>
      <c r="C510" t="str">
        <f>VLOOKUP(B510,[1]rt_remap_detail!$E$3:$F$4082,2,0)</f>
        <v>51-28-5</v>
      </c>
      <c r="D510" t="s">
        <v>1696</v>
      </c>
      <c r="E510" t="s">
        <v>1696</v>
      </c>
    </row>
    <row r="511" spans="1:7" customFormat="1" ht="12.75" x14ac:dyDescent="0.2">
      <c r="A511" s="9" t="s">
        <v>358</v>
      </c>
      <c r="B511" t="s">
        <v>1255</v>
      </c>
      <c r="C511" t="str">
        <f>VLOOKUP(B511,[1]rt_remap_detail!$E$3:$F$4082,2,0)</f>
        <v>105-67-9</v>
      </c>
      <c r="D511" t="s">
        <v>1696</v>
      </c>
      <c r="E511" t="s">
        <v>1696</v>
      </c>
    </row>
    <row r="512" spans="1:7" customFormat="1" ht="12.75" x14ac:dyDescent="0.2">
      <c r="A512" s="10" t="s">
        <v>343</v>
      </c>
      <c r="B512" t="s">
        <v>1245</v>
      </c>
      <c r="C512" t="str">
        <f>VLOOKUP(B512,[1]rt_remap_detail!$E$3:$F$4082,2,0)</f>
        <v>120-83-2</v>
      </c>
      <c r="D512" t="s">
        <v>1696</v>
      </c>
      <c r="E512" t="s">
        <v>1696</v>
      </c>
    </row>
    <row r="513" spans="1:5" customFormat="1" ht="12.75" hidden="1" x14ac:dyDescent="0.2">
      <c r="A513" s="9" t="s">
        <v>1085</v>
      </c>
      <c r="B513" t="s">
        <v>1689</v>
      </c>
      <c r="C513" t="str">
        <f>VLOOKUP(B513,[1]rt_remap_detail!$E$3:$F$4082,2,0)</f>
        <v>3424-82-6</v>
      </c>
      <c r="D513" t="s">
        <v>1696</v>
      </c>
      <c r="E513" t="s">
        <v>1697</v>
      </c>
    </row>
    <row r="514" spans="1:5" customFormat="1" ht="12.75" hidden="1" x14ac:dyDescent="0.2">
      <c r="A514" s="9" t="s">
        <v>579</v>
      </c>
      <c r="B514" t="s">
        <v>1535</v>
      </c>
      <c r="C514" t="str">
        <f>VLOOKUP(B514,[1]rt_remap_detail!$E$3:$F$4082,2,0)</f>
        <v>94-82-6</v>
      </c>
      <c r="D514" t="s">
        <v>1696</v>
      </c>
      <c r="E514" t="s">
        <v>1697</v>
      </c>
    </row>
    <row r="515" spans="1:5" customFormat="1" ht="12.75" hidden="1" x14ac:dyDescent="0.2">
      <c r="A515" s="10" t="s">
        <v>461</v>
      </c>
      <c r="B515" t="s">
        <v>1488</v>
      </c>
      <c r="C515" t="str">
        <f>VLOOKUP(B515,[1]rt_remap_detail!$E$3:$F$4082,2,0)</f>
        <v>94-75-7</v>
      </c>
      <c r="D515" t="s">
        <v>1696</v>
      </c>
      <c r="E515" t="s">
        <v>1697</v>
      </c>
    </row>
    <row r="516" spans="1:5" customFormat="1" ht="12.75" x14ac:dyDescent="0.2">
      <c r="A516" s="9" t="s">
        <v>303</v>
      </c>
      <c r="B516" t="s">
        <v>1329</v>
      </c>
      <c r="C516" t="str">
        <f>VLOOKUP(B516,[1]rt_remap_detail!$E$3:$F$4082,2,0)</f>
        <v>88-06-2</v>
      </c>
      <c r="D516" t="s">
        <v>1696</v>
      </c>
      <c r="E516" t="s">
        <v>1696</v>
      </c>
    </row>
    <row r="517" spans="1:5" customFormat="1" ht="12.75" x14ac:dyDescent="0.2">
      <c r="A517" s="10" t="s">
        <v>1305</v>
      </c>
      <c r="B517" t="s">
        <v>1306</v>
      </c>
      <c r="C517" t="str">
        <f>VLOOKUP(B517,[1]rt_remap_detail!$E$3:$F$4082,2,0)</f>
        <v>118-79-6</v>
      </c>
      <c r="E517" t="s">
        <v>1696</v>
      </c>
    </row>
    <row r="518" spans="1:5" customFormat="1" ht="12.75" x14ac:dyDescent="0.2">
      <c r="A518" s="10" t="s">
        <v>326</v>
      </c>
      <c r="B518" t="s">
        <v>1328</v>
      </c>
      <c r="C518" t="str">
        <f>VLOOKUP(B518,[1]rt_remap_detail!$E$3:$F$4082,2,0)</f>
        <v>95-95-4</v>
      </c>
      <c r="D518" t="s">
        <v>1696</v>
      </c>
      <c r="E518" t="s">
        <v>1696</v>
      </c>
    </row>
    <row r="519" spans="1:5" customFormat="1" ht="12.75" hidden="1" x14ac:dyDescent="0.2">
      <c r="A519" s="9" t="s">
        <v>490</v>
      </c>
      <c r="B519" t="s">
        <v>1500</v>
      </c>
      <c r="C519" t="str">
        <f>VLOOKUP(B519,[1]rt_remap_detail!$E$3:$F$4082,2,0)</f>
        <v>93-72-1</v>
      </c>
      <c r="D519" t="s">
        <v>1696</v>
      </c>
      <c r="E519" t="s">
        <v>1697</v>
      </c>
    </row>
    <row r="520" spans="1:5" customFormat="1" ht="12.75" hidden="1" x14ac:dyDescent="0.2">
      <c r="A520" s="10" t="s">
        <v>432</v>
      </c>
      <c r="B520" t="s">
        <v>1471</v>
      </c>
      <c r="C520" t="str">
        <f>VLOOKUP(B520,[1]rt_remap_detail!$E$3:$F$4082,2,0)</f>
        <v>93-76-5</v>
      </c>
      <c r="D520" t="s">
        <v>1696</v>
      </c>
      <c r="E520" t="s">
        <v>1697</v>
      </c>
    </row>
    <row r="521" spans="1:5" x14ac:dyDescent="0.25">
      <c r="A521" s="16" t="s">
        <v>1334</v>
      </c>
      <c r="B521" s="16" t="s">
        <v>1718</v>
      </c>
      <c r="C521" s="16" t="s">
        <v>1717</v>
      </c>
      <c r="E521" s="16" t="s">
        <v>1696</v>
      </c>
    </row>
    <row r="522" spans="1:5" customFormat="1" ht="12.75" hidden="1" x14ac:dyDescent="0.2">
      <c r="A522" s="14" t="s">
        <v>373</v>
      </c>
      <c r="B522" t="s">
        <v>1456</v>
      </c>
      <c r="C522" t="str">
        <f>VLOOKUP(B522,[1]rt_remap_detail!$E$3:$F$4082,2,0)</f>
        <v>1746-01-6</v>
      </c>
      <c r="D522" t="s">
        <v>1696</v>
      </c>
      <c r="E522" t="s">
        <v>1697</v>
      </c>
    </row>
    <row r="523" spans="1:5" customFormat="1" ht="12.75" hidden="1" x14ac:dyDescent="0.2">
      <c r="A523" s="10" t="s">
        <v>633</v>
      </c>
      <c r="B523" t="s">
        <v>1553</v>
      </c>
      <c r="C523" t="str">
        <f>VLOOKUP(B523,[1]rt_remap_detail!$E$3:$F$4082,2,0)</f>
        <v>51207-31-9</v>
      </c>
      <c r="D523" t="s">
        <v>1696</v>
      </c>
      <c r="E523" t="s">
        <v>1697</v>
      </c>
    </row>
    <row r="524" spans="1:5" customFormat="1" ht="12.75" hidden="1" x14ac:dyDescent="0.2">
      <c r="A524" s="10" t="s">
        <v>834</v>
      </c>
      <c r="B524" t="s">
        <v>1620</v>
      </c>
      <c r="C524" t="str">
        <f>VLOOKUP(B524,[1]rt_remap_detail!$E$3:$F$4082,2,0)</f>
        <v>57117-31-4</v>
      </c>
      <c r="D524" t="s">
        <v>1696</v>
      </c>
      <c r="E524" t="s">
        <v>1697</v>
      </c>
    </row>
    <row r="525" spans="1:5" customFormat="1" ht="12.75" hidden="1" x14ac:dyDescent="0.2">
      <c r="A525" s="9" t="s">
        <v>289</v>
      </c>
      <c r="B525" t="s">
        <v>1440</v>
      </c>
      <c r="C525" t="str">
        <f>VLOOKUP(B525,[1]rt_remap_detail!$E$3:$F$4082,2,0)</f>
        <v>60851-34-5</v>
      </c>
      <c r="D525" t="s">
        <v>1696</v>
      </c>
      <c r="E525" t="s">
        <v>1697</v>
      </c>
    </row>
    <row r="526" spans="1:5" customFormat="1" ht="12.75" hidden="1" x14ac:dyDescent="0.2">
      <c r="A526" s="10" t="s">
        <v>907</v>
      </c>
      <c r="B526" t="s">
        <v>1638</v>
      </c>
      <c r="C526" t="str">
        <f>VLOOKUP(B526,[1]rt_remap_detail!$E$3:$F$4082,2,0)</f>
        <v>65510-44-3</v>
      </c>
      <c r="D526" t="s">
        <v>1696</v>
      </c>
      <c r="E526" t="s">
        <v>1697</v>
      </c>
    </row>
    <row r="527" spans="1:5" customFormat="1" ht="12.75" hidden="1" x14ac:dyDescent="0.2">
      <c r="A527" s="9" t="s">
        <v>664</v>
      </c>
      <c r="B527" t="s">
        <v>1565</v>
      </c>
      <c r="C527" t="str">
        <f>VLOOKUP(B527,[1]rt_remap_detail!$E$3:$F$4082,2,0)</f>
        <v>31508-00-6</v>
      </c>
      <c r="D527" t="s">
        <v>1696</v>
      </c>
      <c r="E527" t="s">
        <v>1697</v>
      </c>
    </row>
    <row r="528" spans="1:5" customFormat="1" ht="12.75" hidden="1" x14ac:dyDescent="0.2">
      <c r="A528" s="10" t="s">
        <v>396</v>
      </c>
      <c r="B528" t="s">
        <v>1465</v>
      </c>
      <c r="C528" t="str">
        <f>VLOOKUP(B528,[1]rt_remap_detail!$E$3:$F$4082,2,0)</f>
        <v>74472-37-0</v>
      </c>
      <c r="D528" t="s">
        <v>1696</v>
      </c>
      <c r="E528" t="s">
        <v>1697</v>
      </c>
    </row>
    <row r="529" spans="1:5" customFormat="1" ht="12.75" hidden="1" x14ac:dyDescent="0.2">
      <c r="A529" s="10" t="s">
        <v>902</v>
      </c>
      <c r="B529" t="s">
        <v>1634</v>
      </c>
      <c r="C529" t="str">
        <f>VLOOKUP(B529,[1]rt_remap_detail!$E$3:$F$4082,2,0)</f>
        <v>52663-72-6</v>
      </c>
      <c r="D529" t="s">
        <v>1696</v>
      </c>
      <c r="E529" t="s">
        <v>1697</v>
      </c>
    </row>
    <row r="530" spans="1:5" customFormat="1" ht="12.75" hidden="1" x14ac:dyDescent="0.2">
      <c r="A530" s="10" t="s">
        <v>397</v>
      </c>
      <c r="B530" t="s">
        <v>1466</v>
      </c>
      <c r="C530" t="str">
        <f>VLOOKUP(B530,[1]rt_remap_detail!$E$3:$F$4082,2,0)</f>
        <v>32598-14-4</v>
      </c>
      <c r="D530" t="s">
        <v>1696</v>
      </c>
      <c r="E530" t="s">
        <v>1697</v>
      </c>
    </row>
    <row r="531" spans="1:5" customFormat="1" ht="12.75" hidden="1" x14ac:dyDescent="0.2">
      <c r="A531" s="10" t="s">
        <v>663</v>
      </c>
      <c r="B531" t="s">
        <v>1564</v>
      </c>
      <c r="C531" t="str">
        <f>VLOOKUP(B531,[1]rt_remap_detail!$E$3:$F$4082,2,0)</f>
        <v>38380-08-4</v>
      </c>
      <c r="D531" t="s">
        <v>1696</v>
      </c>
      <c r="E531" t="s">
        <v>1697</v>
      </c>
    </row>
    <row r="532" spans="1:5" customFormat="1" ht="12.75" hidden="1" x14ac:dyDescent="0.2">
      <c r="A532" s="9" t="s">
        <v>905</v>
      </c>
      <c r="B532" t="s">
        <v>1636</v>
      </c>
      <c r="C532" t="str">
        <f>VLOOKUP(B532,[1]rt_remap_detail!$E$3:$F$4082,2,0)</f>
        <v>69782-90-7</v>
      </c>
      <c r="D532" t="s">
        <v>1696</v>
      </c>
      <c r="E532" t="s">
        <v>1697</v>
      </c>
    </row>
    <row r="533" spans="1:5" customFormat="1" ht="12.75" hidden="1" x14ac:dyDescent="0.2">
      <c r="A533" s="10" t="s">
        <v>381</v>
      </c>
      <c r="B533" t="s">
        <v>1461</v>
      </c>
      <c r="C533" t="str">
        <f>VLOOKUP(B533,[1]rt_remap_detail!$E$3:$F$4082,2,0)</f>
        <v>39635-31-9</v>
      </c>
      <c r="D533" t="s">
        <v>1696</v>
      </c>
      <c r="E533" t="s">
        <v>1697</v>
      </c>
    </row>
    <row r="534" spans="1:5" customFormat="1" ht="12.75" x14ac:dyDescent="0.2">
      <c r="A534" s="10" t="s">
        <v>208</v>
      </c>
      <c r="B534" t="s">
        <v>1148</v>
      </c>
      <c r="C534" t="str">
        <f>VLOOKUP(B534,[1]rt_remap_detail!$E$3:$F$4082,2,0)</f>
        <v>594-20-7</v>
      </c>
      <c r="D534" t="s">
        <v>1696</v>
      </c>
      <c r="E534" t="s">
        <v>1696</v>
      </c>
    </row>
    <row r="535" spans="1:5" customFormat="1" ht="12.75" hidden="1" x14ac:dyDescent="0.2">
      <c r="A535" s="10" t="s">
        <v>654</v>
      </c>
      <c r="B535" t="s">
        <v>1561</v>
      </c>
      <c r="C535" t="str">
        <f>VLOOKUP(B535,[1]rt_remap_detail!$E$3:$F$4082,2,0)</f>
        <v>306-83-2</v>
      </c>
      <c r="D535" t="s">
        <v>1696</v>
      </c>
      <c r="E535" t="s">
        <v>1697</v>
      </c>
    </row>
    <row r="536" spans="1:5" customFormat="1" ht="12.75" hidden="1" x14ac:dyDescent="0.2">
      <c r="A536" s="10" t="s">
        <v>1078</v>
      </c>
      <c r="B536" t="s">
        <v>1687</v>
      </c>
      <c r="C536" t="str">
        <f>VLOOKUP(B536,[1]rt_remap_detail!$E$3:$F$4082,2,0)</f>
        <v>35065-29-3</v>
      </c>
      <c r="D536" t="s">
        <v>1696</v>
      </c>
      <c r="E536" t="s">
        <v>1697</v>
      </c>
    </row>
    <row r="537" spans="1:5" customFormat="1" ht="12.75" hidden="1" x14ac:dyDescent="0.2">
      <c r="A537" s="9" t="s">
        <v>467</v>
      </c>
      <c r="B537" t="s">
        <v>1492</v>
      </c>
      <c r="C537" t="str">
        <f>VLOOKUP(B537,[1]rt_remap_detail!$E$3:$F$4082,2,0)</f>
        <v>134-32-7</v>
      </c>
      <c r="D537" t="s">
        <v>1696</v>
      </c>
      <c r="E537" t="s">
        <v>1697</v>
      </c>
    </row>
    <row r="538" spans="1:5" customFormat="1" ht="12.75" x14ac:dyDescent="0.2">
      <c r="A538" s="9" t="s">
        <v>534</v>
      </c>
      <c r="B538" t="s">
        <v>1286</v>
      </c>
      <c r="C538" t="str">
        <f>VLOOKUP(B538,[1]rt_remap_detail!$E$3:$F$4082,2,0)</f>
        <v>90-12-0</v>
      </c>
      <c r="D538" t="s">
        <v>1696</v>
      </c>
      <c r="E538" t="s">
        <v>1696</v>
      </c>
    </row>
    <row r="539" spans="1:5" customFormat="1" ht="12.75" hidden="1" x14ac:dyDescent="0.2">
      <c r="A539" s="10" t="s">
        <v>594</v>
      </c>
      <c r="B539" t="s">
        <v>1350</v>
      </c>
      <c r="C539" t="e">
        <f>VLOOKUP(B539,[1]rt_remap_detail!$E$3:$F$4082,2,0)</f>
        <v>#N/A</v>
      </c>
      <c r="D539" t="s">
        <v>1696</v>
      </c>
      <c r="E539" t="s">
        <v>1697</v>
      </c>
    </row>
    <row r="540" spans="1:5" customFormat="1" ht="12.75" hidden="1" x14ac:dyDescent="0.2">
      <c r="A540" s="10" t="s">
        <v>176</v>
      </c>
      <c r="B540" t="s">
        <v>1415</v>
      </c>
      <c r="C540" t="str">
        <f>VLOOKUP(B540,[1]rt_remap_detail!$E$3:$F$4082,2,0)</f>
        <v>544-10-5</v>
      </c>
      <c r="D540" t="s">
        <v>1696</v>
      </c>
      <c r="E540" t="s">
        <v>1697</v>
      </c>
    </row>
    <row r="541" spans="1:5" customFormat="1" ht="12.75" hidden="1" x14ac:dyDescent="0.2">
      <c r="A541" s="10" t="s">
        <v>1028</v>
      </c>
      <c r="B541" t="s">
        <v>1674</v>
      </c>
      <c r="C541" t="str">
        <f>VLOOKUP(B541,[1]rt_remap_detail!$E$3:$F$4082,2,0)</f>
        <v>107-04-0</v>
      </c>
      <c r="D541" t="s">
        <v>1696</v>
      </c>
      <c r="E541" t="s">
        <v>1697</v>
      </c>
    </row>
    <row r="542" spans="1:5" customFormat="1" ht="12.75" hidden="1" x14ac:dyDescent="0.2">
      <c r="A542" s="9" t="s">
        <v>577</v>
      </c>
      <c r="B542" t="s">
        <v>1533</v>
      </c>
      <c r="C542" t="str">
        <f>VLOOKUP(B542,[1]rt_remap_detail!$E$3:$F$4082,2,0)</f>
        <v>130-15-4</v>
      </c>
      <c r="D542" t="s">
        <v>1696</v>
      </c>
      <c r="E542" t="s">
        <v>1697</v>
      </c>
    </row>
    <row r="543" spans="1:5" customFormat="1" ht="12.75" hidden="1" x14ac:dyDescent="0.2">
      <c r="A543" s="10" t="s">
        <v>676</v>
      </c>
      <c r="B543" t="s">
        <v>1573</v>
      </c>
      <c r="C543" t="str">
        <f>VLOOKUP(B543,[1]rt_remap_detail!$E$3:$F$4082,2,0)</f>
        <v>17647-74-4</v>
      </c>
      <c r="D543" t="s">
        <v>1696</v>
      </c>
      <c r="E543" t="s">
        <v>1697</v>
      </c>
    </row>
    <row r="544" spans="1:5" customFormat="1" ht="12.75" hidden="1" x14ac:dyDescent="0.2">
      <c r="A544" s="9" t="s">
        <v>171</v>
      </c>
      <c r="B544" t="s">
        <v>1414</v>
      </c>
      <c r="C544" t="str">
        <f>VLOOKUP(B544,[1]rt_remap_detail!$E$3:$F$4082,2,0)</f>
        <v>123-91-1</v>
      </c>
      <c r="D544" t="s">
        <v>1696</v>
      </c>
      <c r="E544" t="s">
        <v>1697</v>
      </c>
    </row>
    <row r="545" spans="1:5" customFormat="1" ht="12.75" hidden="1" x14ac:dyDescent="0.2">
      <c r="A545" s="10" t="s">
        <v>934</v>
      </c>
      <c r="B545" t="s">
        <v>1651</v>
      </c>
      <c r="C545" t="str">
        <f>VLOOKUP(B545,[1]rt_remap_detail!$E$3:$F$4082,2,0)</f>
        <v>540-36-3</v>
      </c>
      <c r="D545" t="s">
        <v>1696</v>
      </c>
      <c r="E545" t="s">
        <v>1697</v>
      </c>
    </row>
    <row r="546" spans="1:5" customFormat="1" ht="12.75" x14ac:dyDescent="0.2">
      <c r="A546" s="10" t="s">
        <v>178</v>
      </c>
      <c r="B546" t="s">
        <v>1139</v>
      </c>
      <c r="C546" t="str">
        <f>VLOOKUP(B546,[1]rt_remap_detail!$E$3:$F$4082,2,0)</f>
        <v>106-46-7</v>
      </c>
      <c r="D546" t="s">
        <v>1696</v>
      </c>
      <c r="E546" t="s">
        <v>1696</v>
      </c>
    </row>
    <row r="547" spans="1:5" customFormat="1" ht="12.75" hidden="1" x14ac:dyDescent="0.2">
      <c r="A547" s="9" t="s">
        <v>781</v>
      </c>
      <c r="B547" t="s">
        <v>1608</v>
      </c>
      <c r="C547" t="str">
        <f>VLOOKUP(B547,[1]rt_remap_detail!$E$3:$F$4082,2,0)</f>
        <v>3855-82-1</v>
      </c>
      <c r="D547" t="s">
        <v>1696</v>
      </c>
      <c r="E547" t="s">
        <v>1697</v>
      </c>
    </row>
    <row r="548" spans="1:5" customFormat="1" ht="12.75" hidden="1" x14ac:dyDescent="0.2">
      <c r="A548" s="10" t="s">
        <v>544</v>
      </c>
      <c r="B548" t="s">
        <v>1519</v>
      </c>
      <c r="C548" t="str">
        <f>VLOOKUP(B548,[1]rt_remap_detail!$E$3:$F$4082,2,0)</f>
        <v>99-65-0</v>
      </c>
      <c r="D548" t="s">
        <v>1696</v>
      </c>
      <c r="E548" t="s">
        <v>1697</v>
      </c>
    </row>
    <row r="549" spans="1:5" customFormat="1" ht="12.75" hidden="1" x14ac:dyDescent="0.2">
      <c r="A549" s="9" t="s">
        <v>653</v>
      </c>
      <c r="B549" t="s">
        <v>1560</v>
      </c>
      <c r="C549" t="str">
        <f>VLOOKUP(B549,[1]rt_remap_detail!$E$3:$F$4082,2,0)</f>
        <v>542-75-6</v>
      </c>
      <c r="D549" t="s">
        <v>1696</v>
      </c>
      <c r="E549" t="s">
        <v>1697</v>
      </c>
    </row>
    <row r="550" spans="1:5" customFormat="1" ht="12.75" x14ac:dyDescent="0.2">
      <c r="A550" s="10" t="s">
        <v>244</v>
      </c>
      <c r="B550" t="s">
        <v>1147</v>
      </c>
      <c r="C550" t="str">
        <f>VLOOKUP(B550,[1]rt_remap_detail!$E$3:$F$4082,2,0)</f>
        <v>142-28-9</v>
      </c>
      <c r="D550" t="s">
        <v>1696</v>
      </c>
      <c r="E550" t="s">
        <v>1696</v>
      </c>
    </row>
    <row r="551" spans="1:5" customFormat="1" ht="12.75" x14ac:dyDescent="0.2">
      <c r="A551" s="9" t="s">
        <v>216</v>
      </c>
      <c r="B551" t="s">
        <v>1138</v>
      </c>
      <c r="C551" t="str">
        <f>VLOOKUP(B551,[1]rt_remap_detail!$E$3:$F$4082,2,0)</f>
        <v>541-73-1</v>
      </c>
      <c r="D551" t="s">
        <v>1696</v>
      </c>
      <c r="E551" t="s">
        <v>1696</v>
      </c>
    </row>
    <row r="552" spans="1:5" customFormat="1" ht="12.75" hidden="1" x14ac:dyDescent="0.2">
      <c r="A552" s="10" t="s">
        <v>265</v>
      </c>
      <c r="B552" t="s">
        <v>1426</v>
      </c>
      <c r="C552" t="str">
        <f>VLOOKUP(B552,[1]rt_remap_detail!$E$3:$F$4082,2,0)</f>
        <v>106-99-0</v>
      </c>
      <c r="D552" t="s">
        <v>1696</v>
      </c>
      <c r="E552" t="s">
        <v>1697</v>
      </c>
    </row>
    <row r="553" spans="1:5" customFormat="1" ht="12.75" hidden="1" x14ac:dyDescent="0.2">
      <c r="A553" s="9" t="s">
        <v>529</v>
      </c>
      <c r="B553" t="s">
        <v>1513</v>
      </c>
      <c r="C553" t="str">
        <f>VLOOKUP(B553,[1]rt_remap_detail!$E$3:$F$4082,2,0)</f>
        <v>99-35-4</v>
      </c>
      <c r="D553" t="s">
        <v>1696</v>
      </c>
      <c r="E553" t="s">
        <v>1697</v>
      </c>
    </row>
    <row r="554" spans="1:5" customFormat="1" ht="12.75" x14ac:dyDescent="0.2">
      <c r="A554" s="9" t="s">
        <v>219</v>
      </c>
      <c r="B554" t="s">
        <v>1180</v>
      </c>
      <c r="C554" t="str">
        <f>VLOOKUP(B554,[1]rt_remap_detail!$E$3:$F$4082,2,0)</f>
        <v>108-67-8</v>
      </c>
      <c r="D554" t="s">
        <v>1696</v>
      </c>
      <c r="E554" t="s">
        <v>1696</v>
      </c>
    </row>
    <row r="555" spans="1:5" customFormat="1" ht="12.75" hidden="1" x14ac:dyDescent="0.2">
      <c r="A555" s="10" t="s">
        <v>504</v>
      </c>
      <c r="B555" t="s">
        <v>1504</v>
      </c>
      <c r="C555" t="str">
        <f>VLOOKUP(B555,[1]rt_remap_detail!$E$3:$F$4082,2,0)</f>
        <v>122-66-7</v>
      </c>
      <c r="D555" t="s">
        <v>1696</v>
      </c>
      <c r="E555" t="s">
        <v>1697</v>
      </c>
    </row>
    <row r="556" spans="1:5" customFormat="1" ht="12.75" x14ac:dyDescent="0.2">
      <c r="A556" s="9" t="s">
        <v>217</v>
      </c>
      <c r="B556" t="s">
        <v>1146</v>
      </c>
      <c r="C556" t="str">
        <f>VLOOKUP(B556,[1]rt_remap_detail!$E$3:$F$4082,2,0)</f>
        <v>78-87-5</v>
      </c>
      <c r="D556" t="s">
        <v>1696</v>
      </c>
      <c r="E556" t="s">
        <v>1696</v>
      </c>
    </row>
    <row r="557" spans="1:5" customFormat="1" ht="12.75" hidden="1" x14ac:dyDescent="0.2">
      <c r="A557" s="10" t="s">
        <v>709</v>
      </c>
      <c r="B557" t="s">
        <v>1584</v>
      </c>
      <c r="C557" t="str">
        <f>VLOOKUP(B557,[1]rt_remap_detail!$E$3:$F$4082,2,0)</f>
        <v>540-59-0</v>
      </c>
      <c r="D557" t="s">
        <v>1696</v>
      </c>
      <c r="E557" t="s">
        <v>1697</v>
      </c>
    </row>
    <row r="558" spans="1:5" customFormat="1" ht="12.75" x14ac:dyDescent="0.2">
      <c r="A558" s="10" t="s">
        <v>1108</v>
      </c>
      <c r="B558" t="s">
        <v>1109</v>
      </c>
      <c r="C558" t="str">
        <f>VLOOKUP(B558,[1]rt_remap_detail!$E$3:$F$4082,2,0)</f>
        <v>17060-07-0</v>
      </c>
      <c r="E558" t="s">
        <v>1696</v>
      </c>
    </row>
    <row r="559" spans="1:5" customFormat="1" ht="12.75" x14ac:dyDescent="0.2">
      <c r="A559" s="10" t="s">
        <v>166</v>
      </c>
      <c r="B559" t="s">
        <v>1136</v>
      </c>
      <c r="C559" t="str">
        <f>VLOOKUP(B559,[1]rt_remap_detail!$E$3:$F$4082,2,0)</f>
        <v>107-06-2</v>
      </c>
      <c r="D559" t="s">
        <v>1696</v>
      </c>
      <c r="E559" t="s">
        <v>1696</v>
      </c>
    </row>
    <row r="560" spans="1:5" customFormat="1" ht="12.75" x14ac:dyDescent="0.2">
      <c r="A560" s="10" t="s">
        <v>168</v>
      </c>
      <c r="B560" t="s">
        <v>1137</v>
      </c>
      <c r="C560" t="str">
        <f>VLOOKUP(B560,[1]rt_remap_detail!$E$3:$F$4082,2,0)</f>
        <v>95-50-1</v>
      </c>
      <c r="D560" t="s">
        <v>1696</v>
      </c>
      <c r="E560" t="s">
        <v>1696</v>
      </c>
    </row>
    <row r="561" spans="1:5" customFormat="1" ht="12.75" hidden="1" x14ac:dyDescent="0.2">
      <c r="A561" s="9" t="s">
        <v>261</v>
      </c>
      <c r="B561" t="s">
        <v>1424</v>
      </c>
      <c r="C561" t="str">
        <f>VLOOKUP(B561,[1]rt_remap_detail!$E$3:$F$4082,2,0)</f>
        <v>76-14-2</v>
      </c>
      <c r="D561" t="s">
        <v>1696</v>
      </c>
      <c r="E561" t="s">
        <v>1697</v>
      </c>
    </row>
    <row r="562" spans="1:5" customFormat="1" ht="12.75" x14ac:dyDescent="0.2">
      <c r="A562" s="9" t="s">
        <v>200</v>
      </c>
      <c r="B562" t="s">
        <v>1150</v>
      </c>
      <c r="C562" t="str">
        <f>VLOOKUP(B562,[1]rt_remap_detail!$E$3:$F$4082,2,0)</f>
        <v>106-93-4</v>
      </c>
      <c r="D562" t="s">
        <v>1696</v>
      </c>
      <c r="E562" t="s">
        <v>1696</v>
      </c>
    </row>
    <row r="563" spans="1:5" customFormat="1" ht="12.75" x14ac:dyDescent="0.2">
      <c r="A563" s="10" t="s">
        <v>246</v>
      </c>
      <c r="B563" t="s">
        <v>1132</v>
      </c>
      <c r="C563" t="str">
        <f>VLOOKUP(B563,[1]rt_remap_detail!$E$3:$F$4082,2,0)</f>
        <v>96-12-8</v>
      </c>
      <c r="D563" t="s">
        <v>1696</v>
      </c>
      <c r="E563" t="s">
        <v>1696</v>
      </c>
    </row>
    <row r="564" spans="1:5" customFormat="1" ht="12.75" x14ac:dyDescent="0.2">
      <c r="A564" s="10" t="s">
        <v>236</v>
      </c>
      <c r="B564" t="s">
        <v>1179</v>
      </c>
      <c r="C564" t="str">
        <f>VLOOKUP(B564,[1]rt_remap_detail!$E$3:$F$4082,2,0)</f>
        <v>95-63-6</v>
      </c>
      <c r="D564" t="s">
        <v>1696</v>
      </c>
      <c r="E564" t="s">
        <v>1696</v>
      </c>
    </row>
    <row r="565" spans="1:5" customFormat="1" ht="12.75" x14ac:dyDescent="0.2">
      <c r="A565" s="10" t="s">
        <v>165</v>
      </c>
      <c r="B565" t="s">
        <v>1175</v>
      </c>
      <c r="C565" t="str">
        <f>VLOOKUP(B565,[1]rt_remap_detail!$E$3:$F$4082,2,0)</f>
        <v>120-82-1</v>
      </c>
      <c r="D565" t="s">
        <v>1696</v>
      </c>
      <c r="E565" t="s">
        <v>1696</v>
      </c>
    </row>
    <row r="566" spans="1:5" customFormat="1" ht="12.75" hidden="1" x14ac:dyDescent="0.2">
      <c r="A566" s="9" t="s">
        <v>572</v>
      </c>
      <c r="B566" t="s">
        <v>1531</v>
      </c>
      <c r="C566" t="str">
        <f>VLOOKUP(B566,[1]rt_remap_detail!$E$3:$F$4082,2,0)</f>
        <v>95-94-3</v>
      </c>
      <c r="D566" t="s">
        <v>1696</v>
      </c>
      <c r="E566" t="s">
        <v>1697</v>
      </c>
    </row>
    <row r="567" spans="1:5" customFormat="1" ht="12.75" hidden="1" x14ac:dyDescent="0.2">
      <c r="A567" s="10" t="s">
        <v>966</v>
      </c>
      <c r="B567" t="s">
        <v>1656</v>
      </c>
      <c r="C567" t="str">
        <f>VLOOKUP(B567,[1]rt_remap_detail!$E$3:$F$4082,2,0)</f>
        <v>526-73-8</v>
      </c>
      <c r="D567" t="s">
        <v>1696</v>
      </c>
      <c r="E567" t="s">
        <v>1697</v>
      </c>
    </row>
    <row r="568" spans="1:5" customFormat="1" ht="12.75" x14ac:dyDescent="0.2">
      <c r="A568" s="10" t="s">
        <v>196</v>
      </c>
      <c r="B568" t="s">
        <v>1178</v>
      </c>
      <c r="C568" t="str">
        <f>VLOOKUP(B568,[1]rt_remap_detail!$E$3:$F$4082,2,0)</f>
        <v>96-18-4</v>
      </c>
      <c r="D568" t="s">
        <v>1696</v>
      </c>
      <c r="E568" t="s">
        <v>1696</v>
      </c>
    </row>
    <row r="569" spans="1:5" customFormat="1" ht="12.75" x14ac:dyDescent="0.2">
      <c r="A569" s="9" t="s">
        <v>231</v>
      </c>
      <c r="B569" t="s">
        <v>1174</v>
      </c>
      <c r="C569" t="str">
        <f>VLOOKUP(B569,[1]rt_remap_detail!$E$3:$F$4082,2,0)</f>
        <v>87-61-6</v>
      </c>
      <c r="D569" t="s">
        <v>1696</v>
      </c>
      <c r="E569" t="s">
        <v>1696</v>
      </c>
    </row>
    <row r="570" spans="1:5" customFormat="1" ht="12.75" hidden="1" x14ac:dyDescent="0.2">
      <c r="A570" s="10" t="s">
        <v>372</v>
      </c>
      <c r="B570" t="s">
        <v>1455</v>
      </c>
      <c r="C570" t="str">
        <f>VLOOKUP(B570,[1]rt_remap_detail!$E$3:$F$4082,2,0)</f>
        <v>40321-76-4</v>
      </c>
      <c r="D570" t="s">
        <v>1696</v>
      </c>
      <c r="E570" t="s">
        <v>1697</v>
      </c>
    </row>
    <row r="571" spans="1:5" customFormat="1" ht="12.75" hidden="1" x14ac:dyDescent="0.2">
      <c r="A571" s="9" t="s">
        <v>901</v>
      </c>
      <c r="B571" t="s">
        <v>1633</v>
      </c>
      <c r="C571" t="str">
        <f>VLOOKUP(B571,[1]rt_remap_detail!$E$3:$F$4082,2,0)</f>
        <v>57117-41-6</v>
      </c>
      <c r="D571" t="s">
        <v>1696</v>
      </c>
      <c r="E571" t="s">
        <v>1697</v>
      </c>
    </row>
    <row r="572" spans="1:5" customFormat="1" ht="12.75" hidden="1" x14ac:dyDescent="0.2">
      <c r="A572" s="9" t="s">
        <v>374</v>
      </c>
      <c r="B572" t="s">
        <v>1457</v>
      </c>
      <c r="C572" t="str">
        <f>VLOOKUP(B572,[1]rt_remap_detail!$E$3:$F$4082,2,0)</f>
        <v>19408-74-3</v>
      </c>
      <c r="D572" t="s">
        <v>1696</v>
      </c>
      <c r="E572" t="s">
        <v>1697</v>
      </c>
    </row>
    <row r="573" spans="1:5" customFormat="1" ht="12.75" hidden="1" x14ac:dyDescent="0.2">
      <c r="A573" s="9" t="s">
        <v>272</v>
      </c>
      <c r="B573" t="s">
        <v>1429</v>
      </c>
      <c r="C573" t="str">
        <f>VLOOKUP(B573,[1]rt_remap_detail!$E$3:$F$4082,2,0)</f>
        <v>72918-21-9</v>
      </c>
      <c r="D573" t="s">
        <v>1696</v>
      </c>
      <c r="E573" t="s">
        <v>1697</v>
      </c>
    </row>
    <row r="574" spans="1:5" customFormat="1" ht="12.75" hidden="1" x14ac:dyDescent="0.2">
      <c r="A574" s="10" t="s">
        <v>926</v>
      </c>
      <c r="B574" t="s">
        <v>1648</v>
      </c>
      <c r="C574" t="str">
        <f>VLOOKUP(B574,[1]rt_remap_detail!$E$3:$F$4082,2,0)</f>
        <v>57653-85-7</v>
      </c>
      <c r="D574" t="s">
        <v>1696</v>
      </c>
      <c r="E574" t="s">
        <v>1697</v>
      </c>
    </row>
    <row r="575" spans="1:5" customFormat="1" ht="12.75" hidden="1" x14ac:dyDescent="0.2">
      <c r="A575" s="9" t="s">
        <v>839</v>
      </c>
      <c r="B575" t="s">
        <v>1623</v>
      </c>
      <c r="C575" t="str">
        <f>VLOOKUP(B575,[1]rt_remap_detail!$E$3:$F$4082,2,0)</f>
        <v>57117-44-9</v>
      </c>
      <c r="D575" t="s">
        <v>1696</v>
      </c>
      <c r="E575" t="s">
        <v>1697</v>
      </c>
    </row>
    <row r="576" spans="1:5" customFormat="1" ht="12.75" hidden="1" x14ac:dyDescent="0.2">
      <c r="A576" s="9" t="s">
        <v>835</v>
      </c>
      <c r="B576" t="s">
        <v>1621</v>
      </c>
      <c r="C576" t="str">
        <f>VLOOKUP(B576,[1]rt_remap_detail!$E$3:$F$4082,2,0)</f>
        <v>39227-28-6</v>
      </c>
      <c r="D576" t="s">
        <v>1696</v>
      </c>
      <c r="E576" t="s">
        <v>1697</v>
      </c>
    </row>
    <row r="577" spans="1:5" customFormat="1" ht="12.75" hidden="1" x14ac:dyDescent="0.2">
      <c r="A577" s="10" t="s">
        <v>370</v>
      </c>
      <c r="B577" t="s">
        <v>1454</v>
      </c>
      <c r="C577" t="str">
        <f>VLOOKUP(B577,[1]rt_remap_detail!$E$3:$F$4082,2,0)</f>
        <v>70648-26-9</v>
      </c>
      <c r="D577" t="s">
        <v>1696</v>
      </c>
      <c r="E577" t="s">
        <v>1697</v>
      </c>
    </row>
    <row r="578" spans="1:5" customFormat="1" ht="12.75" hidden="1" x14ac:dyDescent="0.2">
      <c r="A578" s="10" t="s">
        <v>651</v>
      </c>
      <c r="B578" t="s">
        <v>1559</v>
      </c>
      <c r="C578" t="str">
        <f>VLOOKUP(B578,[1]rt_remap_detail!$E$3:$F$4082,2,0)</f>
        <v>55673-89-7</v>
      </c>
      <c r="D578" t="s">
        <v>1696</v>
      </c>
      <c r="E578" t="s">
        <v>1697</v>
      </c>
    </row>
    <row r="579" spans="1:5" customFormat="1" ht="12.75" hidden="1" x14ac:dyDescent="0.2">
      <c r="A579" s="9" t="s">
        <v>279</v>
      </c>
      <c r="B579" t="s">
        <v>1435</v>
      </c>
      <c r="C579" t="str">
        <f>VLOOKUP(B579,[1]rt_remap_detail!$E$3:$F$4082,2,0)</f>
        <v>35822-46-9</v>
      </c>
      <c r="D579" t="s">
        <v>1696</v>
      </c>
      <c r="E579" t="s">
        <v>1697</v>
      </c>
    </row>
    <row r="580" spans="1:5" customFormat="1" ht="12.75" hidden="1" x14ac:dyDescent="0.2">
      <c r="A580" s="10" t="s">
        <v>828</v>
      </c>
      <c r="B580" t="s">
        <v>1617</v>
      </c>
      <c r="C580" t="str">
        <f>VLOOKUP(B580,[1]rt_remap_detail!$E$3:$F$4082,2,0)</f>
        <v>67562-39-4</v>
      </c>
      <c r="D580" t="s">
        <v>1696</v>
      </c>
      <c r="E580" t="s">
        <v>1697</v>
      </c>
    </row>
    <row r="581" spans="1:5" customFormat="1" ht="12.75" hidden="1" x14ac:dyDescent="0.2">
      <c r="A581" s="10" t="s">
        <v>292</v>
      </c>
      <c r="B581" t="s">
        <v>1441</v>
      </c>
      <c r="C581" t="str">
        <f>VLOOKUP(B581,[1]rt_remap_detail!$E$3:$F$4082,2,0)</f>
        <v>75-37-6</v>
      </c>
      <c r="D581" t="s">
        <v>1696</v>
      </c>
      <c r="E581" t="s">
        <v>1697</v>
      </c>
    </row>
    <row r="582" spans="1:5" customFormat="1" ht="12.75" x14ac:dyDescent="0.2">
      <c r="A582" s="10" t="s">
        <v>207</v>
      </c>
      <c r="B582" t="s">
        <v>1143</v>
      </c>
      <c r="C582" t="str">
        <f>VLOOKUP(B582,[1]rt_remap_detail!$E$3:$F$4082,2,0)</f>
        <v>563-58-6</v>
      </c>
      <c r="D582" t="s">
        <v>1696</v>
      </c>
      <c r="E582" t="s">
        <v>1696</v>
      </c>
    </row>
    <row r="583" spans="1:5" customFormat="1" ht="12.75" x14ac:dyDescent="0.2">
      <c r="A583" s="10" t="s">
        <v>229</v>
      </c>
      <c r="B583" t="s">
        <v>1140</v>
      </c>
      <c r="C583" t="str">
        <f>VLOOKUP(B583,[1]rt_remap_detail!$E$3:$F$4082,2,0)</f>
        <v>75-35-4</v>
      </c>
      <c r="D583" t="s">
        <v>1696</v>
      </c>
      <c r="E583" t="s">
        <v>1696</v>
      </c>
    </row>
    <row r="584" spans="1:5" customFormat="1" ht="12.75" x14ac:dyDescent="0.2">
      <c r="A584" s="10" t="s">
        <v>243</v>
      </c>
      <c r="B584" t="s">
        <v>1135</v>
      </c>
      <c r="C584" t="str">
        <f>VLOOKUP(B584,[1]rt_remap_detail!$E$3:$F$4082,2,0)</f>
        <v>75-34-3</v>
      </c>
      <c r="D584" t="s">
        <v>1696</v>
      </c>
      <c r="E584" t="s">
        <v>1696</v>
      </c>
    </row>
    <row r="585" spans="1:5" customFormat="1" ht="12.75" x14ac:dyDescent="0.2">
      <c r="A585" s="9" t="s">
        <v>173</v>
      </c>
      <c r="B585" t="s">
        <v>1173</v>
      </c>
      <c r="C585" t="str">
        <f>VLOOKUP(B585,[1]rt_remap_detail!$E$3:$F$4082,2,0)</f>
        <v>79-00-5</v>
      </c>
      <c r="D585" t="s">
        <v>1696</v>
      </c>
      <c r="E585" t="s">
        <v>1696</v>
      </c>
    </row>
    <row r="586" spans="1:5" customFormat="1" ht="12.75" x14ac:dyDescent="0.2">
      <c r="A586" s="9" t="s">
        <v>223</v>
      </c>
      <c r="B586" t="s">
        <v>1154</v>
      </c>
      <c r="C586" t="str">
        <f>VLOOKUP(B586,[1]rt_remap_detail!$E$3:$F$4082,2,0)</f>
        <v>76-13-1</v>
      </c>
      <c r="D586" t="s">
        <v>1696</v>
      </c>
      <c r="E586" t="s">
        <v>1696</v>
      </c>
    </row>
    <row r="587" spans="1:5" customFormat="1" ht="12.75" x14ac:dyDescent="0.2">
      <c r="A587" s="10" t="s">
        <v>230</v>
      </c>
      <c r="B587" t="s">
        <v>1165</v>
      </c>
      <c r="C587" t="str">
        <f>VLOOKUP(B587,[1]rt_remap_detail!$E$3:$F$4082,2,0)</f>
        <v>79-34-5</v>
      </c>
      <c r="D587" t="s">
        <v>1696</v>
      </c>
      <c r="E587" t="s">
        <v>1696</v>
      </c>
    </row>
    <row r="588" spans="1:5" customFormat="1" ht="12.75" x14ac:dyDescent="0.2">
      <c r="A588" s="10" t="s">
        <v>222</v>
      </c>
      <c r="B588" t="s">
        <v>1172</v>
      </c>
      <c r="C588" t="str">
        <f>VLOOKUP(B588,[1]rt_remap_detail!$E$3:$F$4082,2,0)</f>
        <v>71-55-6</v>
      </c>
      <c r="D588" t="s">
        <v>1696</v>
      </c>
      <c r="E588" t="s">
        <v>1696</v>
      </c>
    </row>
    <row r="589" spans="1:5" customFormat="1" ht="12.75" x14ac:dyDescent="0.2">
      <c r="A589" s="10" t="s">
        <v>187</v>
      </c>
      <c r="B589" t="s">
        <v>1171</v>
      </c>
      <c r="C589" t="str">
        <f>VLOOKUP(B589,[1]rt_remap_detail!$E$3:$F$4082,2,0)</f>
        <v>630-20-6</v>
      </c>
      <c r="D589" t="s">
        <v>1696</v>
      </c>
      <c r="E589" t="s">
        <v>1696</v>
      </c>
    </row>
    <row r="590" spans="1:5" customFormat="1" ht="12.75" hidden="1" x14ac:dyDescent="0.2">
      <c r="A590" s="10" t="s">
        <v>251</v>
      </c>
      <c r="C590" t="e">
        <f>VLOOKUP(B590,[1]rt_remap_detail!$E$3:$F$4082,2,0)</f>
        <v>#N/A</v>
      </c>
      <c r="D590" t="s">
        <v>1696</v>
      </c>
      <c r="E590" t="s">
        <v>1697</v>
      </c>
    </row>
    <row r="591" spans="1:5" customFormat="1" ht="12.75" hidden="1" x14ac:dyDescent="0.2">
      <c r="A591" s="9" t="s">
        <v>266</v>
      </c>
      <c r="C591" t="e">
        <f>VLOOKUP(B591,[1]rt_remap_detail!$E$3:$F$4082,2,0)</f>
        <v>#N/A</v>
      </c>
      <c r="D591" t="s">
        <v>1696</v>
      </c>
      <c r="E591" t="s">
        <v>1697</v>
      </c>
    </row>
    <row r="592" spans="1:5" customFormat="1" ht="12.75" hidden="1" x14ac:dyDescent="0.2">
      <c r="A592" s="10" t="s">
        <v>271</v>
      </c>
      <c r="C592" t="e">
        <f>VLOOKUP(B592,[1]rt_remap_detail!$E$3:$F$4082,2,0)</f>
        <v>#N/A</v>
      </c>
      <c r="D592" t="s">
        <v>1696</v>
      </c>
      <c r="E592" t="s">
        <v>1697</v>
      </c>
    </row>
    <row r="593" spans="1:5" customFormat="1" ht="12.75" hidden="1" x14ac:dyDescent="0.2">
      <c r="A593" s="10" t="s">
        <v>280</v>
      </c>
      <c r="C593" t="e">
        <f>VLOOKUP(B593,[1]rt_remap_detail!$E$3:$F$4082,2,0)</f>
        <v>#N/A</v>
      </c>
      <c r="D593" t="s">
        <v>1696</v>
      </c>
      <c r="E593" t="s">
        <v>1697</v>
      </c>
    </row>
    <row r="594" spans="1:5" customFormat="1" ht="12.75" hidden="1" x14ac:dyDescent="0.2">
      <c r="A594" s="10" t="s">
        <v>290</v>
      </c>
      <c r="C594" t="e">
        <f>VLOOKUP(B594,[1]rt_remap_detail!$E$3:$F$4082,2,0)</f>
        <v>#N/A</v>
      </c>
      <c r="D594" t="s">
        <v>1696</v>
      </c>
      <c r="E594" t="s">
        <v>1697</v>
      </c>
    </row>
    <row r="595" spans="1:5" customFormat="1" ht="12.75" hidden="1" x14ac:dyDescent="0.2">
      <c r="A595" s="9" t="s">
        <v>291</v>
      </c>
      <c r="C595" t="e">
        <f>VLOOKUP(B595,[1]rt_remap_detail!$E$3:$F$4082,2,0)</f>
        <v>#N/A</v>
      </c>
      <c r="D595" t="s">
        <v>1696</v>
      </c>
      <c r="E595" t="s">
        <v>1697</v>
      </c>
    </row>
    <row r="596" spans="1:5" customFormat="1" ht="12.75" hidden="1" x14ac:dyDescent="0.2">
      <c r="A596" s="9" t="s">
        <v>364</v>
      </c>
      <c r="C596" t="e">
        <f>VLOOKUP(B596,[1]rt_remap_detail!$E$3:$F$4082,2,0)</f>
        <v>#N/A</v>
      </c>
      <c r="D596" t="s">
        <v>1696</v>
      </c>
      <c r="E596" t="s">
        <v>1697</v>
      </c>
    </row>
    <row r="597" spans="1:5" customFormat="1" ht="12.75" hidden="1" x14ac:dyDescent="0.2">
      <c r="A597" s="9" t="s">
        <v>365</v>
      </c>
      <c r="C597" t="e">
        <f>VLOOKUP(B597,[1]rt_remap_detail!$E$3:$F$4082,2,0)</f>
        <v>#N/A</v>
      </c>
      <c r="D597" t="s">
        <v>1696</v>
      </c>
      <c r="E597" t="s">
        <v>1697</v>
      </c>
    </row>
    <row r="598" spans="1:5" customFormat="1" ht="12.75" hidden="1" x14ac:dyDescent="0.2">
      <c r="A598" s="9" t="s">
        <v>369</v>
      </c>
      <c r="C598" t="e">
        <f>VLOOKUP(B598,[1]rt_remap_detail!$E$3:$F$4082,2,0)</f>
        <v>#N/A</v>
      </c>
      <c r="D598" t="s">
        <v>1696</v>
      </c>
      <c r="E598" t="s">
        <v>1697</v>
      </c>
    </row>
    <row r="599" spans="1:5" customFormat="1" ht="12.75" hidden="1" x14ac:dyDescent="0.2">
      <c r="A599" s="10" t="s">
        <v>389</v>
      </c>
      <c r="C599" t="e">
        <f>VLOOKUP(B599,[1]rt_remap_detail!$E$3:$F$4082,2,0)</f>
        <v>#N/A</v>
      </c>
      <c r="D599" t="s">
        <v>1696</v>
      </c>
      <c r="E599" t="s">
        <v>1697</v>
      </c>
    </row>
    <row r="600" spans="1:5" customFormat="1" ht="12.75" hidden="1" x14ac:dyDescent="0.2">
      <c r="A600" s="9" t="s">
        <v>390</v>
      </c>
      <c r="C600" t="e">
        <f>VLOOKUP(B600,[1]rt_remap_detail!$E$3:$F$4082,2,0)</f>
        <v>#N/A</v>
      </c>
      <c r="D600" t="s">
        <v>1696</v>
      </c>
      <c r="E600" t="s">
        <v>1697</v>
      </c>
    </row>
    <row r="601" spans="1:5" customFormat="1" ht="12.75" hidden="1" x14ac:dyDescent="0.2">
      <c r="A601" s="10" t="s">
        <v>392</v>
      </c>
      <c r="C601" t="e">
        <f>VLOOKUP(B601,[1]rt_remap_detail!$E$3:$F$4082,2,0)</f>
        <v>#N/A</v>
      </c>
      <c r="D601" t="s">
        <v>1696</v>
      </c>
      <c r="E601" t="s">
        <v>1697</v>
      </c>
    </row>
    <row r="602" spans="1:5" customFormat="1" ht="12.75" hidden="1" x14ac:dyDescent="0.2">
      <c r="A602" s="9" t="s">
        <v>393</v>
      </c>
      <c r="C602" t="e">
        <f>VLOOKUP(B602,[1]rt_remap_detail!$E$3:$F$4082,2,0)</f>
        <v>#N/A</v>
      </c>
      <c r="D602" t="s">
        <v>1696</v>
      </c>
      <c r="E602" t="s">
        <v>1697</v>
      </c>
    </row>
    <row r="603" spans="1:5" customFormat="1" ht="12.75" hidden="1" x14ac:dyDescent="0.2">
      <c r="A603" s="10" t="s">
        <v>394</v>
      </c>
      <c r="C603" t="e">
        <f>VLOOKUP(B603,[1]rt_remap_detail!$E$3:$F$4082,2,0)</f>
        <v>#N/A</v>
      </c>
      <c r="D603" t="s">
        <v>1696</v>
      </c>
      <c r="E603" t="s">
        <v>1697</v>
      </c>
    </row>
    <row r="604" spans="1:5" customFormat="1" ht="12.75" hidden="1" x14ac:dyDescent="0.2">
      <c r="A604" s="9" t="s">
        <v>395</v>
      </c>
      <c r="C604" t="e">
        <f>VLOOKUP(B604,[1]rt_remap_detail!$E$3:$F$4082,2,0)</f>
        <v>#N/A</v>
      </c>
      <c r="D604" t="s">
        <v>1696</v>
      </c>
      <c r="E604" t="s">
        <v>1697</v>
      </c>
    </row>
    <row r="605" spans="1:5" customFormat="1" ht="12.75" hidden="1" x14ac:dyDescent="0.2">
      <c r="A605" s="9" t="s">
        <v>419</v>
      </c>
      <c r="C605" t="e">
        <f>VLOOKUP(B605,[1]rt_remap_detail!$E$3:$F$4082,2,0)</f>
        <v>#N/A</v>
      </c>
      <c r="D605" t="s">
        <v>1696</v>
      </c>
      <c r="E605" t="s">
        <v>1697</v>
      </c>
    </row>
    <row r="606" spans="1:5" customFormat="1" ht="12.75" hidden="1" x14ac:dyDescent="0.2">
      <c r="A606" s="10" t="s">
        <v>424</v>
      </c>
      <c r="C606" t="e">
        <f>VLOOKUP(B606,[1]rt_remap_detail!$E$3:$F$4082,2,0)</f>
        <v>#N/A</v>
      </c>
      <c r="D606" t="s">
        <v>1696</v>
      </c>
      <c r="E606" t="s">
        <v>1697</v>
      </c>
    </row>
    <row r="607" spans="1:5" customFormat="1" ht="12.75" hidden="1" x14ac:dyDescent="0.2">
      <c r="A607" s="10" t="s">
        <v>439</v>
      </c>
      <c r="C607" t="e">
        <f>VLOOKUP(B607,[1]rt_remap_detail!$E$3:$F$4082,2,0)</f>
        <v>#N/A</v>
      </c>
      <c r="D607" t="s">
        <v>1696</v>
      </c>
      <c r="E607" t="s">
        <v>1697</v>
      </c>
    </row>
    <row r="608" spans="1:5" customFormat="1" ht="12.75" hidden="1" x14ac:dyDescent="0.2">
      <c r="A608" s="10" t="s">
        <v>457</v>
      </c>
      <c r="C608" t="e">
        <f>VLOOKUP(B608,[1]rt_remap_detail!$E$3:$F$4082,2,0)</f>
        <v>#N/A</v>
      </c>
      <c r="D608" t="s">
        <v>1696</v>
      </c>
      <c r="E608" t="s">
        <v>1697</v>
      </c>
    </row>
    <row r="609" spans="1:5" customFormat="1" ht="12.75" hidden="1" x14ac:dyDescent="0.2">
      <c r="A609" s="9" t="s">
        <v>462</v>
      </c>
      <c r="C609" t="e">
        <f>VLOOKUP(B609,[1]rt_remap_detail!$E$3:$F$4082,2,0)</f>
        <v>#N/A</v>
      </c>
      <c r="D609" t="s">
        <v>1696</v>
      </c>
      <c r="E609" t="s">
        <v>1697</v>
      </c>
    </row>
    <row r="610" spans="1:5" customFormat="1" ht="12.75" hidden="1" x14ac:dyDescent="0.2">
      <c r="A610" s="9" t="s">
        <v>464</v>
      </c>
      <c r="C610" t="e">
        <f>VLOOKUP(B610,[1]rt_remap_detail!$E$3:$F$4082,2,0)</f>
        <v>#N/A</v>
      </c>
      <c r="D610" t="s">
        <v>1696</v>
      </c>
      <c r="E610" t="s">
        <v>1697</v>
      </c>
    </row>
    <row r="611" spans="1:5" customFormat="1" ht="12.75" hidden="1" x14ac:dyDescent="0.2">
      <c r="A611" s="10" t="s">
        <v>474</v>
      </c>
      <c r="C611" t="e">
        <f>VLOOKUP(B611,[1]rt_remap_detail!$E$3:$F$4082,2,0)</f>
        <v>#N/A</v>
      </c>
      <c r="D611" t="s">
        <v>1696</v>
      </c>
      <c r="E611" t="s">
        <v>1697</v>
      </c>
    </row>
    <row r="612" spans="1:5" customFormat="1" ht="12.75" hidden="1" x14ac:dyDescent="0.2">
      <c r="A612" s="9" t="s">
        <v>478</v>
      </c>
      <c r="C612" t="e">
        <f>VLOOKUP(B612,[1]rt_remap_detail!$E$3:$F$4082,2,0)</f>
        <v>#N/A</v>
      </c>
      <c r="D612" t="s">
        <v>1696</v>
      </c>
      <c r="E612" t="s">
        <v>1697</v>
      </c>
    </row>
    <row r="613" spans="1:5" customFormat="1" ht="12.75" hidden="1" x14ac:dyDescent="0.2">
      <c r="A613" s="9" t="s">
        <v>480</v>
      </c>
      <c r="C613" t="e">
        <f>VLOOKUP(B613,[1]rt_remap_detail!$E$3:$F$4082,2,0)</f>
        <v>#N/A</v>
      </c>
      <c r="D613" t="s">
        <v>1696</v>
      </c>
      <c r="E613" t="s">
        <v>1697</v>
      </c>
    </row>
    <row r="614" spans="1:5" customFormat="1" ht="12.75" hidden="1" x14ac:dyDescent="0.2">
      <c r="A614" s="10" t="s">
        <v>481</v>
      </c>
      <c r="C614" t="e">
        <f>VLOOKUP(B614,[1]rt_remap_detail!$E$3:$F$4082,2,0)</f>
        <v>#N/A</v>
      </c>
      <c r="D614" t="s">
        <v>1696</v>
      </c>
      <c r="E614" t="s">
        <v>1697</v>
      </c>
    </row>
    <row r="615" spans="1:5" customFormat="1" ht="12.75" hidden="1" x14ac:dyDescent="0.2">
      <c r="A615" s="9" t="s">
        <v>482</v>
      </c>
      <c r="C615" t="e">
        <f>VLOOKUP(B615,[1]rt_remap_detail!$E$3:$F$4082,2,0)</f>
        <v>#N/A</v>
      </c>
      <c r="D615" t="s">
        <v>1696</v>
      </c>
      <c r="E615" t="s">
        <v>1697</v>
      </c>
    </row>
    <row r="616" spans="1:5" customFormat="1" ht="12.75" hidden="1" x14ac:dyDescent="0.2">
      <c r="A616" s="9" t="s">
        <v>483</v>
      </c>
      <c r="C616" t="e">
        <f>VLOOKUP(B616,[1]rt_remap_detail!$E$3:$F$4082,2,0)</f>
        <v>#N/A</v>
      </c>
      <c r="D616" t="s">
        <v>1696</v>
      </c>
      <c r="E616" t="s">
        <v>1697</v>
      </c>
    </row>
    <row r="617" spans="1:5" customFormat="1" ht="12.75" hidden="1" x14ac:dyDescent="0.2">
      <c r="A617" s="10" t="s">
        <v>484</v>
      </c>
      <c r="C617" t="e">
        <f>VLOOKUP(B617,[1]rt_remap_detail!$E$3:$F$4082,2,0)</f>
        <v>#N/A</v>
      </c>
      <c r="D617" t="s">
        <v>1696</v>
      </c>
      <c r="E617" t="s">
        <v>1697</v>
      </c>
    </row>
    <row r="618" spans="1:5" customFormat="1" ht="12.75" hidden="1" x14ac:dyDescent="0.2">
      <c r="A618" s="10" t="s">
        <v>485</v>
      </c>
      <c r="C618" t="e">
        <f>VLOOKUP(B618,[1]rt_remap_detail!$E$3:$F$4082,2,0)</f>
        <v>#N/A</v>
      </c>
      <c r="D618" t="s">
        <v>1696</v>
      </c>
      <c r="E618" t="s">
        <v>1697</v>
      </c>
    </row>
    <row r="619" spans="1:5" customFormat="1" ht="12.75" hidden="1" x14ac:dyDescent="0.2">
      <c r="A619" s="9" t="s">
        <v>486</v>
      </c>
      <c r="C619" t="e">
        <f>VLOOKUP(B619,[1]rt_remap_detail!$E$3:$F$4082,2,0)</f>
        <v>#N/A</v>
      </c>
      <c r="D619" t="s">
        <v>1696</v>
      </c>
      <c r="E619" t="s">
        <v>1697</v>
      </c>
    </row>
    <row r="620" spans="1:5" customFormat="1" ht="12.75" hidden="1" x14ac:dyDescent="0.2">
      <c r="A620" s="10" t="s">
        <v>487</v>
      </c>
      <c r="C620" t="e">
        <f>VLOOKUP(B620,[1]rt_remap_detail!$E$3:$F$4082,2,0)</f>
        <v>#N/A</v>
      </c>
      <c r="D620" t="s">
        <v>1696</v>
      </c>
      <c r="E620" t="s">
        <v>1697</v>
      </c>
    </row>
    <row r="621" spans="1:5" customFormat="1" ht="12.75" hidden="1" x14ac:dyDescent="0.2">
      <c r="A621" s="10" t="s">
        <v>488</v>
      </c>
      <c r="C621" t="e">
        <f>VLOOKUP(B621,[1]rt_remap_detail!$E$3:$F$4082,2,0)</f>
        <v>#N/A</v>
      </c>
      <c r="D621" t="s">
        <v>1696</v>
      </c>
      <c r="E621" t="s">
        <v>1697</v>
      </c>
    </row>
    <row r="622" spans="1:5" customFormat="1" ht="12.75" hidden="1" x14ac:dyDescent="0.2">
      <c r="A622" s="10" t="s">
        <v>489</v>
      </c>
      <c r="C622" t="e">
        <f>VLOOKUP(B622,[1]rt_remap_detail!$E$3:$F$4082,2,0)</f>
        <v>#N/A</v>
      </c>
      <c r="D622" t="s">
        <v>1696</v>
      </c>
      <c r="E622" t="s">
        <v>1697</v>
      </c>
    </row>
    <row r="623" spans="1:5" customFormat="1" ht="12.75" hidden="1" x14ac:dyDescent="0.2">
      <c r="A623" s="9" t="s">
        <v>491</v>
      </c>
      <c r="C623" t="e">
        <f>VLOOKUP(B623,[1]rt_remap_detail!$E$3:$F$4082,2,0)</f>
        <v>#N/A</v>
      </c>
      <c r="D623" t="s">
        <v>1696</v>
      </c>
      <c r="E623" t="s">
        <v>1697</v>
      </c>
    </row>
    <row r="624" spans="1:5" customFormat="1" ht="12.75" hidden="1" x14ac:dyDescent="0.2">
      <c r="A624" s="10" t="s">
        <v>492</v>
      </c>
      <c r="C624" t="e">
        <f>VLOOKUP(B624,[1]rt_remap_detail!$E$3:$F$4082,2,0)</f>
        <v>#N/A</v>
      </c>
      <c r="D624" t="s">
        <v>1696</v>
      </c>
      <c r="E624" t="s">
        <v>1697</v>
      </c>
    </row>
    <row r="625" spans="1:5" customFormat="1" ht="12.75" hidden="1" x14ac:dyDescent="0.2">
      <c r="A625" s="9" t="s">
        <v>493</v>
      </c>
      <c r="C625" t="e">
        <f>VLOOKUP(B625,[1]rt_remap_detail!$E$3:$F$4082,2,0)</f>
        <v>#N/A</v>
      </c>
      <c r="D625" t="s">
        <v>1696</v>
      </c>
      <c r="E625" t="s">
        <v>1697</v>
      </c>
    </row>
    <row r="626" spans="1:5" customFormat="1" ht="12.75" hidden="1" x14ac:dyDescent="0.2">
      <c r="A626" s="10" t="s">
        <v>494</v>
      </c>
      <c r="C626" t="e">
        <f>VLOOKUP(B626,[1]rt_remap_detail!$E$3:$F$4082,2,0)</f>
        <v>#N/A</v>
      </c>
      <c r="D626" t="s">
        <v>1696</v>
      </c>
      <c r="E626" t="s">
        <v>1697</v>
      </c>
    </row>
    <row r="627" spans="1:5" customFormat="1" ht="12.75" hidden="1" x14ac:dyDescent="0.2">
      <c r="A627" s="10" t="s">
        <v>495</v>
      </c>
      <c r="C627" t="e">
        <f>VLOOKUP(B627,[1]rt_remap_detail!$E$3:$F$4082,2,0)</f>
        <v>#N/A</v>
      </c>
      <c r="D627" t="s">
        <v>1696</v>
      </c>
      <c r="E627" t="s">
        <v>1697</v>
      </c>
    </row>
    <row r="628" spans="1:5" customFormat="1" ht="12.75" hidden="1" x14ac:dyDescent="0.2">
      <c r="A628" s="10" t="s">
        <v>497</v>
      </c>
      <c r="C628" t="e">
        <f>VLOOKUP(B628,[1]rt_remap_detail!$E$3:$F$4082,2,0)</f>
        <v>#N/A</v>
      </c>
      <c r="D628" t="s">
        <v>1696</v>
      </c>
      <c r="E628" t="s">
        <v>1697</v>
      </c>
    </row>
    <row r="629" spans="1:5" customFormat="1" ht="12.75" hidden="1" x14ac:dyDescent="0.2">
      <c r="A629" s="10" t="s">
        <v>498</v>
      </c>
      <c r="C629" t="e">
        <f>VLOOKUP(B629,[1]rt_remap_detail!$E$3:$F$4082,2,0)</f>
        <v>#N/A</v>
      </c>
      <c r="D629" t="s">
        <v>1696</v>
      </c>
      <c r="E629" t="s">
        <v>1697</v>
      </c>
    </row>
    <row r="630" spans="1:5" customFormat="1" ht="12.75" hidden="1" x14ac:dyDescent="0.2">
      <c r="A630" s="10" t="s">
        <v>503</v>
      </c>
      <c r="C630" t="e">
        <f>VLOOKUP(B630,[1]rt_remap_detail!$E$3:$F$4082,2,0)</f>
        <v>#N/A</v>
      </c>
      <c r="D630" t="s">
        <v>1696</v>
      </c>
      <c r="E630" t="s">
        <v>1697</v>
      </c>
    </row>
    <row r="631" spans="1:5" customFormat="1" ht="12.75" hidden="1" x14ac:dyDescent="0.2">
      <c r="A631" s="9" t="s">
        <v>511</v>
      </c>
      <c r="C631" t="e">
        <f>VLOOKUP(B631,[1]rt_remap_detail!$E$3:$F$4082,2,0)</f>
        <v>#N/A</v>
      </c>
      <c r="D631" t="s">
        <v>1696</v>
      </c>
      <c r="E631" t="s">
        <v>1697</v>
      </c>
    </row>
    <row r="632" spans="1:5" customFormat="1" ht="12.75" hidden="1" x14ac:dyDescent="0.2">
      <c r="A632" s="9" t="s">
        <v>514</v>
      </c>
      <c r="C632" t="e">
        <f>VLOOKUP(B632,[1]rt_remap_detail!$E$3:$F$4082,2,0)</f>
        <v>#N/A</v>
      </c>
      <c r="D632" t="s">
        <v>1696</v>
      </c>
      <c r="E632" t="s">
        <v>1697</v>
      </c>
    </row>
    <row r="633" spans="1:5" customFormat="1" ht="12.75" hidden="1" x14ac:dyDescent="0.2">
      <c r="A633" s="9" t="s">
        <v>515</v>
      </c>
      <c r="C633" t="e">
        <f>VLOOKUP(B633,[1]rt_remap_detail!$E$3:$F$4082,2,0)</f>
        <v>#N/A</v>
      </c>
      <c r="D633" t="s">
        <v>1696</v>
      </c>
      <c r="E633" t="s">
        <v>1697</v>
      </c>
    </row>
    <row r="634" spans="1:5" customFormat="1" ht="12.75" hidden="1" x14ac:dyDescent="0.2">
      <c r="A634" s="9" t="s">
        <v>516</v>
      </c>
      <c r="C634" t="e">
        <f>VLOOKUP(B634,[1]rt_remap_detail!$E$3:$F$4082,2,0)</f>
        <v>#N/A</v>
      </c>
      <c r="D634" t="s">
        <v>1696</v>
      </c>
      <c r="E634" t="s">
        <v>1697</v>
      </c>
    </row>
    <row r="635" spans="1:5" customFormat="1" ht="12.75" hidden="1" x14ac:dyDescent="0.2">
      <c r="A635" s="10" t="s">
        <v>517</v>
      </c>
      <c r="C635" t="e">
        <f>VLOOKUP(B635,[1]rt_remap_detail!$E$3:$F$4082,2,0)</f>
        <v>#N/A</v>
      </c>
      <c r="D635" t="s">
        <v>1696</v>
      </c>
      <c r="E635" t="s">
        <v>1697</v>
      </c>
    </row>
    <row r="636" spans="1:5" customFormat="1" ht="12.75" hidden="1" x14ac:dyDescent="0.2">
      <c r="A636" s="9" t="s">
        <v>518</v>
      </c>
      <c r="C636" t="e">
        <f>VLOOKUP(B636,[1]rt_remap_detail!$E$3:$F$4082,2,0)</f>
        <v>#N/A</v>
      </c>
      <c r="D636" t="s">
        <v>1696</v>
      </c>
      <c r="E636" t="s">
        <v>1697</v>
      </c>
    </row>
    <row r="637" spans="1:5" customFormat="1" ht="12.75" hidden="1" x14ac:dyDescent="0.2">
      <c r="A637" s="9" t="s">
        <v>520</v>
      </c>
      <c r="C637" t="e">
        <f>VLOOKUP(B637,[1]rt_remap_detail!$E$3:$F$4082,2,0)</f>
        <v>#N/A</v>
      </c>
      <c r="D637" t="s">
        <v>1696</v>
      </c>
      <c r="E637" t="s">
        <v>1697</v>
      </c>
    </row>
    <row r="638" spans="1:5" customFormat="1" ht="12.75" hidden="1" x14ac:dyDescent="0.2">
      <c r="A638" s="9" t="s">
        <v>521</v>
      </c>
      <c r="C638" t="e">
        <f>VLOOKUP(B638,[1]rt_remap_detail!$E$3:$F$4082,2,0)</f>
        <v>#N/A</v>
      </c>
      <c r="D638" t="s">
        <v>1696</v>
      </c>
      <c r="E638" t="s">
        <v>1697</v>
      </c>
    </row>
    <row r="639" spans="1:5" customFormat="1" ht="12.75" hidden="1" x14ac:dyDescent="0.2">
      <c r="A639" s="10" t="s">
        <v>522</v>
      </c>
      <c r="C639" t="e">
        <f>VLOOKUP(B639,[1]rt_remap_detail!$E$3:$F$4082,2,0)</f>
        <v>#N/A</v>
      </c>
      <c r="D639" t="s">
        <v>1696</v>
      </c>
      <c r="E639" t="s">
        <v>1697</v>
      </c>
    </row>
    <row r="640" spans="1:5" customFormat="1" ht="12.75" hidden="1" x14ac:dyDescent="0.2">
      <c r="A640" s="9" t="s">
        <v>523</v>
      </c>
      <c r="C640" t="e">
        <f>VLOOKUP(B640,[1]rt_remap_detail!$E$3:$F$4082,2,0)</f>
        <v>#N/A</v>
      </c>
      <c r="D640" t="s">
        <v>1696</v>
      </c>
      <c r="E640" t="s">
        <v>1697</v>
      </c>
    </row>
    <row r="641" spans="1:5" customFormat="1" ht="12.75" hidden="1" x14ac:dyDescent="0.2">
      <c r="A641" s="9" t="s">
        <v>524</v>
      </c>
      <c r="C641" t="e">
        <f>VLOOKUP(B641,[1]rt_remap_detail!$E$3:$F$4082,2,0)</f>
        <v>#N/A</v>
      </c>
      <c r="D641" t="s">
        <v>1696</v>
      </c>
      <c r="E641" t="s">
        <v>1697</v>
      </c>
    </row>
    <row r="642" spans="1:5" customFormat="1" ht="12.75" hidden="1" x14ac:dyDescent="0.2">
      <c r="A642" s="10" t="s">
        <v>528</v>
      </c>
      <c r="C642" t="e">
        <f>VLOOKUP(B642,[1]rt_remap_detail!$E$3:$F$4082,2,0)</f>
        <v>#N/A</v>
      </c>
      <c r="D642" t="s">
        <v>1696</v>
      </c>
      <c r="E642" t="s">
        <v>1697</v>
      </c>
    </row>
    <row r="643" spans="1:5" customFormat="1" ht="12.75" hidden="1" x14ac:dyDescent="0.2">
      <c r="A643" s="10" t="s">
        <v>530</v>
      </c>
      <c r="C643" t="e">
        <f>VLOOKUP(B643,[1]rt_remap_detail!$E$3:$F$4082,2,0)</f>
        <v>#N/A</v>
      </c>
      <c r="D643" t="s">
        <v>1696</v>
      </c>
      <c r="E643" t="s">
        <v>1697</v>
      </c>
    </row>
    <row r="644" spans="1:5" customFormat="1" ht="12.75" hidden="1" x14ac:dyDescent="0.2">
      <c r="A644" s="9" t="s">
        <v>532</v>
      </c>
      <c r="C644" t="e">
        <f>VLOOKUP(B644,[1]rt_remap_detail!$E$3:$F$4082,2,0)</f>
        <v>#N/A</v>
      </c>
      <c r="D644" t="s">
        <v>1696</v>
      </c>
      <c r="E644" t="s">
        <v>1697</v>
      </c>
    </row>
    <row r="645" spans="1:5" customFormat="1" ht="12.75" hidden="1" x14ac:dyDescent="0.2">
      <c r="A645" s="9" t="s">
        <v>538</v>
      </c>
      <c r="C645" t="e">
        <f>VLOOKUP(B645,[1]rt_remap_detail!$E$3:$F$4082,2,0)</f>
        <v>#N/A</v>
      </c>
      <c r="D645" t="s">
        <v>1696</v>
      </c>
      <c r="E645" t="s">
        <v>1697</v>
      </c>
    </row>
    <row r="646" spans="1:5" customFormat="1" ht="12.75" hidden="1" x14ac:dyDescent="0.2">
      <c r="A646" s="9" t="s">
        <v>539</v>
      </c>
      <c r="C646" t="e">
        <f>VLOOKUP(B646,[1]rt_remap_detail!$E$3:$F$4082,2,0)</f>
        <v>#N/A</v>
      </c>
      <c r="D646" t="s">
        <v>1696</v>
      </c>
      <c r="E646" t="s">
        <v>1697</v>
      </c>
    </row>
    <row r="647" spans="1:5" customFormat="1" ht="12.75" hidden="1" x14ac:dyDescent="0.2">
      <c r="A647" s="9" t="s">
        <v>546</v>
      </c>
      <c r="C647" t="e">
        <f>VLOOKUP(B647,[1]rt_remap_detail!$E$3:$F$4082,2,0)</f>
        <v>#N/A</v>
      </c>
      <c r="D647" t="s">
        <v>1696</v>
      </c>
      <c r="E647" t="s">
        <v>1697</v>
      </c>
    </row>
    <row r="648" spans="1:5" customFormat="1" ht="12.75" hidden="1" x14ac:dyDescent="0.2">
      <c r="A648" s="10" t="s">
        <v>547</v>
      </c>
      <c r="C648" t="e">
        <f>VLOOKUP(B648,[1]rt_remap_detail!$E$3:$F$4082,2,0)</f>
        <v>#N/A</v>
      </c>
      <c r="D648" t="s">
        <v>1696</v>
      </c>
      <c r="E648" t="s">
        <v>1697</v>
      </c>
    </row>
    <row r="649" spans="1:5" customFormat="1" ht="12.75" hidden="1" x14ac:dyDescent="0.2">
      <c r="A649" s="10" t="s">
        <v>548</v>
      </c>
      <c r="C649" t="e">
        <f>VLOOKUP(B649,[1]rt_remap_detail!$E$3:$F$4082,2,0)</f>
        <v>#N/A</v>
      </c>
      <c r="D649" t="s">
        <v>1696</v>
      </c>
      <c r="E649" t="s">
        <v>1697</v>
      </c>
    </row>
    <row r="650" spans="1:5" customFormat="1" ht="12.75" hidden="1" x14ac:dyDescent="0.2">
      <c r="A650" s="9" t="s">
        <v>549</v>
      </c>
      <c r="C650" t="e">
        <f>VLOOKUP(B650,[1]rt_remap_detail!$E$3:$F$4082,2,0)</f>
        <v>#N/A</v>
      </c>
      <c r="D650" t="s">
        <v>1696</v>
      </c>
      <c r="E650" t="s">
        <v>1697</v>
      </c>
    </row>
    <row r="651" spans="1:5" customFormat="1" ht="12.75" hidden="1" x14ac:dyDescent="0.2">
      <c r="A651" s="9" t="s">
        <v>553</v>
      </c>
      <c r="C651" t="e">
        <f>VLOOKUP(B651,[1]rt_remap_detail!$E$3:$F$4082,2,0)</f>
        <v>#N/A</v>
      </c>
      <c r="D651" t="s">
        <v>1696</v>
      </c>
      <c r="E651" t="s">
        <v>1697</v>
      </c>
    </row>
    <row r="652" spans="1:5" customFormat="1" ht="12.75" hidden="1" x14ac:dyDescent="0.2">
      <c r="A652" s="10" t="s">
        <v>554</v>
      </c>
      <c r="C652" t="e">
        <f>VLOOKUP(B652,[1]rt_remap_detail!$E$3:$F$4082,2,0)</f>
        <v>#N/A</v>
      </c>
      <c r="D652" t="s">
        <v>1696</v>
      </c>
      <c r="E652" t="s">
        <v>1697</v>
      </c>
    </row>
    <row r="653" spans="1:5" customFormat="1" ht="12.75" hidden="1" x14ac:dyDescent="0.2">
      <c r="A653" s="9" t="s">
        <v>556</v>
      </c>
      <c r="C653" t="e">
        <f>VLOOKUP(B653,[1]rt_remap_detail!$E$3:$F$4082,2,0)</f>
        <v>#N/A</v>
      </c>
      <c r="D653" t="s">
        <v>1696</v>
      </c>
      <c r="E653" t="s">
        <v>1697</v>
      </c>
    </row>
    <row r="654" spans="1:5" customFormat="1" ht="12.75" hidden="1" x14ac:dyDescent="0.2">
      <c r="A654" s="10" t="s">
        <v>558</v>
      </c>
      <c r="C654" t="e">
        <f>VLOOKUP(B654,[1]rt_remap_detail!$E$3:$F$4082,2,0)</f>
        <v>#N/A</v>
      </c>
      <c r="D654" t="s">
        <v>1696</v>
      </c>
      <c r="E654" t="s">
        <v>1697</v>
      </c>
    </row>
    <row r="655" spans="1:5" customFormat="1" ht="12.75" hidden="1" x14ac:dyDescent="0.2">
      <c r="A655" s="10" t="s">
        <v>560</v>
      </c>
      <c r="C655" t="e">
        <f>VLOOKUP(B655,[1]rt_remap_detail!$E$3:$F$4082,2,0)</f>
        <v>#N/A</v>
      </c>
      <c r="D655" t="s">
        <v>1696</v>
      </c>
      <c r="E655" t="s">
        <v>1697</v>
      </c>
    </row>
    <row r="656" spans="1:5" customFormat="1" ht="12.75" hidden="1" x14ac:dyDescent="0.2">
      <c r="A656" s="10" t="s">
        <v>561</v>
      </c>
      <c r="C656" t="e">
        <f>VLOOKUP(B656,[1]rt_remap_detail!$E$3:$F$4082,2,0)</f>
        <v>#N/A</v>
      </c>
      <c r="D656" t="s">
        <v>1696</v>
      </c>
      <c r="E656" t="s">
        <v>1697</v>
      </c>
    </row>
    <row r="657" spans="1:5" customFormat="1" ht="12.75" hidden="1" x14ac:dyDescent="0.2">
      <c r="A657" s="9" t="s">
        <v>563</v>
      </c>
      <c r="C657" t="e">
        <f>VLOOKUP(B657,[1]rt_remap_detail!$E$3:$F$4082,2,0)</f>
        <v>#N/A</v>
      </c>
      <c r="D657" t="s">
        <v>1696</v>
      </c>
      <c r="E657" t="s">
        <v>1697</v>
      </c>
    </row>
    <row r="658" spans="1:5" customFormat="1" ht="12.75" hidden="1" x14ac:dyDescent="0.2">
      <c r="A658" s="9" t="s">
        <v>564</v>
      </c>
      <c r="C658" t="e">
        <f>VLOOKUP(B658,[1]rt_remap_detail!$E$3:$F$4082,2,0)</f>
        <v>#N/A</v>
      </c>
      <c r="D658" t="s">
        <v>1696</v>
      </c>
      <c r="E658" t="s">
        <v>1697</v>
      </c>
    </row>
    <row r="659" spans="1:5" customFormat="1" ht="12.75" hidden="1" x14ac:dyDescent="0.2">
      <c r="A659" s="10" t="s">
        <v>565</v>
      </c>
      <c r="C659" t="e">
        <f>VLOOKUP(B659,[1]rt_remap_detail!$E$3:$F$4082,2,0)</f>
        <v>#N/A</v>
      </c>
      <c r="D659" t="s">
        <v>1696</v>
      </c>
      <c r="E659" t="s">
        <v>1697</v>
      </c>
    </row>
    <row r="660" spans="1:5" customFormat="1" ht="12.75" hidden="1" x14ac:dyDescent="0.2">
      <c r="A660" s="10" t="s">
        <v>570</v>
      </c>
      <c r="C660" t="e">
        <f>VLOOKUP(B660,[1]rt_remap_detail!$E$3:$F$4082,2,0)</f>
        <v>#N/A</v>
      </c>
      <c r="D660" t="s">
        <v>1696</v>
      </c>
      <c r="E660" t="s">
        <v>1697</v>
      </c>
    </row>
    <row r="661" spans="1:5" customFormat="1" ht="12.75" hidden="1" x14ac:dyDescent="0.2">
      <c r="A661" s="9" t="s">
        <v>573</v>
      </c>
      <c r="C661" t="e">
        <f>VLOOKUP(B661,[1]rt_remap_detail!$E$3:$F$4082,2,0)</f>
        <v>#N/A</v>
      </c>
      <c r="D661" t="s">
        <v>1696</v>
      </c>
      <c r="E661" t="s">
        <v>1697</v>
      </c>
    </row>
    <row r="662" spans="1:5" customFormat="1" ht="12.75" hidden="1" x14ac:dyDescent="0.2">
      <c r="A662" s="10" t="s">
        <v>575</v>
      </c>
      <c r="C662" t="e">
        <f>VLOOKUP(B662,[1]rt_remap_detail!$E$3:$F$4082,2,0)</f>
        <v>#N/A</v>
      </c>
      <c r="D662" t="s">
        <v>1696</v>
      </c>
      <c r="E662" t="s">
        <v>1697</v>
      </c>
    </row>
    <row r="663" spans="1:5" customFormat="1" ht="12.75" hidden="1" x14ac:dyDescent="0.2">
      <c r="A663" s="10" t="s">
        <v>576</v>
      </c>
      <c r="C663" t="e">
        <f>VLOOKUP(B663,[1]rt_remap_detail!$E$3:$F$4082,2,0)</f>
        <v>#N/A</v>
      </c>
      <c r="D663" t="s">
        <v>1696</v>
      </c>
      <c r="E663" t="s">
        <v>1697</v>
      </c>
    </row>
    <row r="664" spans="1:5" customFormat="1" ht="12.75" hidden="1" x14ac:dyDescent="0.2">
      <c r="A664" s="9" t="s">
        <v>581</v>
      </c>
      <c r="C664" t="e">
        <f>VLOOKUP(B664,[1]rt_remap_detail!$E$3:$F$4082,2,0)</f>
        <v>#N/A</v>
      </c>
      <c r="D664" t="s">
        <v>1696</v>
      </c>
      <c r="E664" t="s">
        <v>1697</v>
      </c>
    </row>
    <row r="665" spans="1:5" customFormat="1" ht="12.75" hidden="1" x14ac:dyDescent="0.2">
      <c r="A665" s="9" t="s">
        <v>584</v>
      </c>
      <c r="C665" t="e">
        <f>VLOOKUP(B665,[1]rt_remap_detail!$E$3:$F$4082,2,0)</f>
        <v>#N/A</v>
      </c>
      <c r="D665" t="s">
        <v>1696</v>
      </c>
      <c r="E665" t="s">
        <v>1697</v>
      </c>
    </row>
    <row r="666" spans="1:5" customFormat="1" ht="12.75" hidden="1" x14ac:dyDescent="0.2">
      <c r="A666" s="9" t="s">
        <v>586</v>
      </c>
      <c r="C666" t="e">
        <f>VLOOKUP(B666,[1]rt_remap_detail!$E$3:$F$4082,2,0)</f>
        <v>#N/A</v>
      </c>
      <c r="D666" t="s">
        <v>1696</v>
      </c>
      <c r="E666" t="s">
        <v>1697</v>
      </c>
    </row>
    <row r="667" spans="1:5" customFormat="1" ht="12.75" hidden="1" x14ac:dyDescent="0.2">
      <c r="A667" s="9" t="s">
        <v>588</v>
      </c>
      <c r="C667" t="e">
        <f>VLOOKUP(B667,[1]rt_remap_detail!$E$3:$F$4082,2,0)</f>
        <v>#N/A</v>
      </c>
      <c r="D667" t="s">
        <v>1696</v>
      </c>
      <c r="E667" t="s">
        <v>1697</v>
      </c>
    </row>
    <row r="668" spans="1:5" customFormat="1" ht="12.75" hidden="1" x14ac:dyDescent="0.2">
      <c r="A668" s="10" t="s">
        <v>590</v>
      </c>
      <c r="C668" t="e">
        <f>VLOOKUP(B668,[1]rt_remap_detail!$E$3:$F$4082,2,0)</f>
        <v>#N/A</v>
      </c>
      <c r="D668" t="s">
        <v>1696</v>
      </c>
      <c r="E668" t="s">
        <v>1697</v>
      </c>
    </row>
    <row r="669" spans="1:5" customFormat="1" ht="12.75" hidden="1" x14ac:dyDescent="0.2">
      <c r="A669" s="10" t="s">
        <v>591</v>
      </c>
      <c r="C669" t="e">
        <f>VLOOKUP(B669,[1]rt_remap_detail!$E$3:$F$4082,2,0)</f>
        <v>#N/A</v>
      </c>
      <c r="D669" t="s">
        <v>1696</v>
      </c>
      <c r="E669" t="s">
        <v>1697</v>
      </c>
    </row>
    <row r="670" spans="1:5" customFormat="1" ht="12.75" hidden="1" x14ac:dyDescent="0.2">
      <c r="A670" s="9" t="s">
        <v>593</v>
      </c>
      <c r="C670" t="e">
        <f>VLOOKUP(B670,[1]rt_remap_detail!$E$3:$F$4082,2,0)</f>
        <v>#N/A</v>
      </c>
      <c r="D670" t="s">
        <v>1696</v>
      </c>
      <c r="E670" t="s">
        <v>1697</v>
      </c>
    </row>
    <row r="671" spans="1:5" customFormat="1" ht="12.75" hidden="1" x14ac:dyDescent="0.2">
      <c r="A671" s="9" t="s">
        <v>595</v>
      </c>
      <c r="C671" t="e">
        <f>VLOOKUP(B671,[1]rt_remap_detail!$E$3:$F$4082,2,0)</f>
        <v>#N/A</v>
      </c>
      <c r="D671" t="s">
        <v>1696</v>
      </c>
      <c r="E671" t="s">
        <v>1697</v>
      </c>
    </row>
    <row r="672" spans="1:5" customFormat="1" ht="12.75" hidden="1" x14ac:dyDescent="0.2">
      <c r="A672" s="10" t="s">
        <v>597</v>
      </c>
      <c r="C672" t="e">
        <f>VLOOKUP(B672,[1]rt_remap_detail!$E$3:$F$4082,2,0)</f>
        <v>#N/A</v>
      </c>
      <c r="D672" t="s">
        <v>1696</v>
      </c>
      <c r="E672" t="s">
        <v>1697</v>
      </c>
    </row>
    <row r="673" spans="1:5" customFormat="1" ht="12.75" hidden="1" x14ac:dyDescent="0.2">
      <c r="A673" s="9" t="s">
        <v>598</v>
      </c>
      <c r="C673" t="e">
        <f>VLOOKUP(B673,[1]rt_remap_detail!$E$3:$F$4082,2,0)</f>
        <v>#N/A</v>
      </c>
      <c r="D673" t="s">
        <v>1696</v>
      </c>
      <c r="E673" t="s">
        <v>1697</v>
      </c>
    </row>
    <row r="674" spans="1:5" customFormat="1" ht="12.75" hidden="1" x14ac:dyDescent="0.2">
      <c r="A674" s="10" t="s">
        <v>599</v>
      </c>
      <c r="C674" t="e">
        <f>VLOOKUP(B674,[1]rt_remap_detail!$E$3:$F$4082,2,0)</f>
        <v>#N/A</v>
      </c>
      <c r="D674" t="s">
        <v>1696</v>
      </c>
      <c r="E674" t="s">
        <v>1697</v>
      </c>
    </row>
    <row r="675" spans="1:5" customFormat="1" ht="12.75" hidden="1" x14ac:dyDescent="0.2">
      <c r="A675" s="9" t="s">
        <v>603</v>
      </c>
      <c r="C675" t="e">
        <f>VLOOKUP(B675,[1]rt_remap_detail!$E$3:$F$4082,2,0)</f>
        <v>#N/A</v>
      </c>
      <c r="D675" t="s">
        <v>1696</v>
      </c>
      <c r="E675" t="s">
        <v>1697</v>
      </c>
    </row>
    <row r="676" spans="1:5" customFormat="1" ht="12.75" hidden="1" x14ac:dyDescent="0.2">
      <c r="A676" s="9" t="s">
        <v>604</v>
      </c>
      <c r="C676" t="e">
        <f>VLOOKUP(B676,[1]rt_remap_detail!$E$3:$F$4082,2,0)</f>
        <v>#N/A</v>
      </c>
      <c r="D676" t="s">
        <v>1696</v>
      </c>
      <c r="E676" t="s">
        <v>1697</v>
      </c>
    </row>
    <row r="677" spans="1:5" customFormat="1" ht="12.75" hidden="1" x14ac:dyDescent="0.2">
      <c r="A677" s="10" t="s">
        <v>608</v>
      </c>
      <c r="C677" t="e">
        <f>VLOOKUP(B677,[1]rt_remap_detail!$E$3:$F$4082,2,0)</f>
        <v>#N/A</v>
      </c>
      <c r="D677" t="s">
        <v>1696</v>
      </c>
      <c r="E677" t="s">
        <v>1697</v>
      </c>
    </row>
    <row r="678" spans="1:5" customFormat="1" ht="12.75" hidden="1" x14ac:dyDescent="0.2">
      <c r="A678" s="10" t="s">
        <v>609</v>
      </c>
      <c r="C678" t="e">
        <f>VLOOKUP(B678,[1]rt_remap_detail!$E$3:$F$4082,2,0)</f>
        <v>#N/A</v>
      </c>
      <c r="D678" t="s">
        <v>1696</v>
      </c>
      <c r="E678" t="s">
        <v>1697</v>
      </c>
    </row>
    <row r="679" spans="1:5" customFormat="1" ht="12.75" hidden="1" x14ac:dyDescent="0.2">
      <c r="A679" s="9" t="s">
        <v>610</v>
      </c>
      <c r="C679" t="e">
        <f>VLOOKUP(B679,[1]rt_remap_detail!$E$3:$F$4082,2,0)</f>
        <v>#N/A</v>
      </c>
      <c r="D679" t="s">
        <v>1696</v>
      </c>
      <c r="E679" t="s">
        <v>1697</v>
      </c>
    </row>
    <row r="680" spans="1:5" customFormat="1" ht="12.75" hidden="1" x14ac:dyDescent="0.2">
      <c r="A680" s="9" t="s">
        <v>611</v>
      </c>
      <c r="C680" t="e">
        <f>VLOOKUP(B680,[1]rt_remap_detail!$E$3:$F$4082,2,0)</f>
        <v>#N/A</v>
      </c>
      <c r="D680" t="s">
        <v>1696</v>
      </c>
      <c r="E680" t="s">
        <v>1697</v>
      </c>
    </row>
    <row r="681" spans="1:5" customFormat="1" ht="12.75" hidden="1" x14ac:dyDescent="0.2">
      <c r="A681" s="9" t="s">
        <v>612</v>
      </c>
      <c r="C681" t="e">
        <f>VLOOKUP(B681,[1]rt_remap_detail!$E$3:$F$4082,2,0)</f>
        <v>#N/A</v>
      </c>
      <c r="D681" t="s">
        <v>1696</v>
      </c>
      <c r="E681" t="s">
        <v>1697</v>
      </c>
    </row>
    <row r="682" spans="1:5" customFormat="1" ht="12.75" hidden="1" x14ac:dyDescent="0.2">
      <c r="A682" s="10" t="s">
        <v>613</v>
      </c>
      <c r="C682" t="e">
        <f>VLOOKUP(B682,[1]rt_remap_detail!$E$3:$F$4082,2,0)</f>
        <v>#N/A</v>
      </c>
      <c r="D682" t="s">
        <v>1696</v>
      </c>
      <c r="E682" t="s">
        <v>1697</v>
      </c>
    </row>
    <row r="683" spans="1:5" customFormat="1" ht="12.75" hidden="1" x14ac:dyDescent="0.2">
      <c r="A683" s="10" t="s">
        <v>614</v>
      </c>
      <c r="C683" t="e">
        <f>VLOOKUP(B683,[1]rt_remap_detail!$E$3:$F$4082,2,0)</f>
        <v>#N/A</v>
      </c>
      <c r="D683" t="s">
        <v>1696</v>
      </c>
      <c r="E683" t="s">
        <v>1697</v>
      </c>
    </row>
    <row r="684" spans="1:5" customFormat="1" ht="12.75" hidden="1" x14ac:dyDescent="0.2">
      <c r="A684" s="9" t="s">
        <v>616</v>
      </c>
      <c r="C684" t="e">
        <f>VLOOKUP(B684,[1]rt_remap_detail!$E$3:$F$4082,2,0)</f>
        <v>#N/A</v>
      </c>
      <c r="D684" t="s">
        <v>1696</v>
      </c>
      <c r="E684" t="s">
        <v>1697</v>
      </c>
    </row>
    <row r="685" spans="1:5" customFormat="1" ht="12.75" hidden="1" x14ac:dyDescent="0.2">
      <c r="A685" s="9" t="s">
        <v>617</v>
      </c>
      <c r="C685" t="e">
        <f>VLOOKUP(B685,[1]rt_remap_detail!$E$3:$F$4082,2,0)</f>
        <v>#N/A</v>
      </c>
      <c r="D685" t="s">
        <v>1696</v>
      </c>
      <c r="E685" t="s">
        <v>1697</v>
      </c>
    </row>
    <row r="686" spans="1:5" customFormat="1" ht="12.75" hidden="1" x14ac:dyDescent="0.2">
      <c r="A686" s="9" t="s">
        <v>620</v>
      </c>
      <c r="C686" t="e">
        <f>VLOOKUP(B686,[1]rt_remap_detail!$E$3:$F$4082,2,0)</f>
        <v>#N/A</v>
      </c>
      <c r="D686" t="s">
        <v>1696</v>
      </c>
      <c r="E686" t="s">
        <v>1697</v>
      </c>
    </row>
    <row r="687" spans="1:5" customFormat="1" ht="12.75" hidden="1" x14ac:dyDescent="0.2">
      <c r="A687" s="10" t="s">
        <v>626</v>
      </c>
      <c r="C687" t="e">
        <f>VLOOKUP(B687,[1]rt_remap_detail!$E$3:$F$4082,2,0)</f>
        <v>#N/A</v>
      </c>
      <c r="D687" t="s">
        <v>1696</v>
      </c>
      <c r="E687" t="s">
        <v>1697</v>
      </c>
    </row>
    <row r="688" spans="1:5" customFormat="1" ht="12.75" hidden="1" x14ac:dyDescent="0.2">
      <c r="A688" s="9" t="s">
        <v>627</v>
      </c>
      <c r="C688" t="e">
        <f>VLOOKUP(B688,[1]rt_remap_detail!$E$3:$F$4082,2,0)</f>
        <v>#N/A</v>
      </c>
      <c r="D688" t="s">
        <v>1696</v>
      </c>
      <c r="E688" t="s">
        <v>1697</v>
      </c>
    </row>
    <row r="689" spans="1:5" customFormat="1" ht="12.75" hidden="1" x14ac:dyDescent="0.2">
      <c r="A689" s="9" t="s">
        <v>632</v>
      </c>
      <c r="C689" t="e">
        <f>VLOOKUP(B689,[1]rt_remap_detail!$E$3:$F$4082,2,0)</f>
        <v>#N/A</v>
      </c>
      <c r="D689" t="s">
        <v>1696</v>
      </c>
      <c r="E689" t="s">
        <v>1697</v>
      </c>
    </row>
    <row r="690" spans="1:5" customFormat="1" ht="12.75" hidden="1" x14ac:dyDescent="0.2">
      <c r="A690" s="10" t="s">
        <v>634</v>
      </c>
      <c r="C690" t="e">
        <f>VLOOKUP(B690,[1]rt_remap_detail!$E$3:$F$4082,2,0)</f>
        <v>#N/A</v>
      </c>
      <c r="D690" t="s">
        <v>1696</v>
      </c>
      <c r="E690" t="s">
        <v>1697</v>
      </c>
    </row>
    <row r="691" spans="1:5" customFormat="1" ht="12.75" hidden="1" x14ac:dyDescent="0.2">
      <c r="A691" s="10" t="s">
        <v>636</v>
      </c>
      <c r="C691" t="e">
        <f>VLOOKUP(B691,[1]rt_remap_detail!$E$3:$F$4082,2,0)</f>
        <v>#N/A</v>
      </c>
      <c r="D691" t="s">
        <v>1696</v>
      </c>
      <c r="E691" t="s">
        <v>1697</v>
      </c>
    </row>
    <row r="692" spans="1:5" customFormat="1" ht="12.75" hidden="1" x14ac:dyDescent="0.2">
      <c r="A692" s="9" t="s">
        <v>637</v>
      </c>
      <c r="C692" t="e">
        <f>VLOOKUP(B692,[1]rt_remap_detail!$E$3:$F$4082,2,0)</f>
        <v>#N/A</v>
      </c>
      <c r="D692" t="s">
        <v>1696</v>
      </c>
      <c r="E692" t="s">
        <v>1697</v>
      </c>
    </row>
    <row r="693" spans="1:5" customFormat="1" ht="12.75" hidden="1" x14ac:dyDescent="0.2">
      <c r="A693" s="10" t="s">
        <v>638</v>
      </c>
      <c r="C693" t="e">
        <f>VLOOKUP(B693,[1]rt_remap_detail!$E$3:$F$4082,2,0)</f>
        <v>#N/A</v>
      </c>
      <c r="D693" t="s">
        <v>1696</v>
      </c>
      <c r="E693" t="s">
        <v>1697</v>
      </c>
    </row>
    <row r="694" spans="1:5" customFormat="1" ht="12.75" hidden="1" x14ac:dyDescent="0.2">
      <c r="A694" s="9" t="s">
        <v>639</v>
      </c>
      <c r="C694" t="e">
        <f>VLOOKUP(B694,[1]rt_remap_detail!$E$3:$F$4082,2,0)</f>
        <v>#N/A</v>
      </c>
      <c r="D694" t="s">
        <v>1696</v>
      </c>
      <c r="E694" t="s">
        <v>1697</v>
      </c>
    </row>
    <row r="695" spans="1:5" customFormat="1" ht="12.75" hidden="1" x14ac:dyDescent="0.2">
      <c r="A695" s="9" t="s">
        <v>640</v>
      </c>
      <c r="C695" t="e">
        <f>VLOOKUP(B695,[1]rt_remap_detail!$E$3:$F$4082,2,0)</f>
        <v>#N/A</v>
      </c>
      <c r="D695" t="s">
        <v>1696</v>
      </c>
      <c r="E695" t="s">
        <v>1697</v>
      </c>
    </row>
    <row r="696" spans="1:5" customFormat="1" ht="12.75" hidden="1" x14ac:dyDescent="0.2">
      <c r="A696" s="10" t="s">
        <v>646</v>
      </c>
      <c r="C696" t="e">
        <f>VLOOKUP(B696,[1]rt_remap_detail!$E$3:$F$4082,2,0)</f>
        <v>#N/A</v>
      </c>
      <c r="D696" t="s">
        <v>1696</v>
      </c>
      <c r="E696" t="s">
        <v>1697</v>
      </c>
    </row>
    <row r="697" spans="1:5" customFormat="1" ht="12.75" hidden="1" x14ac:dyDescent="0.2">
      <c r="A697" s="9" t="s">
        <v>647</v>
      </c>
      <c r="C697" t="e">
        <f>VLOOKUP(B697,[1]rt_remap_detail!$E$3:$F$4082,2,0)</f>
        <v>#N/A</v>
      </c>
      <c r="D697" t="s">
        <v>1696</v>
      </c>
      <c r="E697" t="s">
        <v>1697</v>
      </c>
    </row>
    <row r="698" spans="1:5" customFormat="1" ht="12.75" hidden="1" x14ac:dyDescent="0.2">
      <c r="A698" s="9" t="s">
        <v>648</v>
      </c>
      <c r="C698" t="e">
        <f>VLOOKUP(B698,[1]rt_remap_detail!$E$3:$F$4082,2,0)</f>
        <v>#N/A</v>
      </c>
      <c r="D698" t="s">
        <v>1696</v>
      </c>
      <c r="E698" t="s">
        <v>1697</v>
      </c>
    </row>
    <row r="699" spans="1:5" customFormat="1" ht="12.75" hidden="1" x14ac:dyDescent="0.2">
      <c r="A699" s="9" t="s">
        <v>652</v>
      </c>
      <c r="C699" t="e">
        <f>VLOOKUP(B699,[1]rt_remap_detail!$E$3:$F$4082,2,0)</f>
        <v>#N/A</v>
      </c>
      <c r="D699" t="s">
        <v>1696</v>
      </c>
      <c r="E699" t="s">
        <v>1697</v>
      </c>
    </row>
    <row r="700" spans="1:5" customFormat="1" ht="12.75" hidden="1" x14ac:dyDescent="0.2">
      <c r="A700" s="10" t="s">
        <v>655</v>
      </c>
      <c r="C700" t="e">
        <f>VLOOKUP(B700,[1]rt_remap_detail!$E$3:$F$4082,2,0)</f>
        <v>#N/A</v>
      </c>
      <c r="D700" t="s">
        <v>1696</v>
      </c>
      <c r="E700" t="s">
        <v>1697</v>
      </c>
    </row>
    <row r="701" spans="1:5" customFormat="1" ht="12.75" hidden="1" x14ac:dyDescent="0.2">
      <c r="A701" s="10" t="s">
        <v>656</v>
      </c>
      <c r="C701" t="e">
        <f>VLOOKUP(B701,[1]rt_remap_detail!$E$3:$F$4082,2,0)</f>
        <v>#N/A</v>
      </c>
      <c r="D701" t="s">
        <v>1696</v>
      </c>
      <c r="E701" t="s">
        <v>1697</v>
      </c>
    </row>
    <row r="702" spans="1:5" customFormat="1" ht="12.75" hidden="1" x14ac:dyDescent="0.2">
      <c r="A702" s="9" t="s">
        <v>657</v>
      </c>
      <c r="C702" t="e">
        <f>VLOOKUP(B702,[1]rt_remap_detail!$E$3:$F$4082,2,0)</f>
        <v>#N/A</v>
      </c>
      <c r="D702" t="s">
        <v>1696</v>
      </c>
      <c r="E702" t="s">
        <v>1697</v>
      </c>
    </row>
    <row r="703" spans="1:5" customFormat="1" ht="12.75" hidden="1" x14ac:dyDescent="0.2">
      <c r="A703" s="10" t="s">
        <v>658</v>
      </c>
      <c r="C703" t="e">
        <f>VLOOKUP(B703,[1]rt_remap_detail!$E$3:$F$4082,2,0)</f>
        <v>#N/A</v>
      </c>
      <c r="D703" t="s">
        <v>1696</v>
      </c>
      <c r="E703" t="s">
        <v>1697</v>
      </c>
    </row>
    <row r="704" spans="1:5" customFormat="1" ht="12.75" hidden="1" x14ac:dyDescent="0.2">
      <c r="A704" s="10" t="s">
        <v>661</v>
      </c>
      <c r="C704" t="e">
        <f>VLOOKUP(B704,[1]rt_remap_detail!$E$3:$F$4082,2,0)</f>
        <v>#N/A</v>
      </c>
      <c r="D704" t="s">
        <v>1696</v>
      </c>
      <c r="E704" t="s">
        <v>1697</v>
      </c>
    </row>
    <row r="705" spans="1:5" customFormat="1" ht="12.75" hidden="1" x14ac:dyDescent="0.2">
      <c r="A705" s="10" t="s">
        <v>662</v>
      </c>
      <c r="C705" t="e">
        <f>VLOOKUP(B705,[1]rt_remap_detail!$E$3:$F$4082,2,0)</f>
        <v>#N/A</v>
      </c>
      <c r="D705" t="s">
        <v>1696</v>
      </c>
      <c r="E705" t="s">
        <v>1697</v>
      </c>
    </row>
    <row r="706" spans="1:5" customFormat="1" ht="12.75" hidden="1" x14ac:dyDescent="0.2">
      <c r="A706" s="9" t="s">
        <v>670</v>
      </c>
      <c r="C706" t="e">
        <f>VLOOKUP(B706,[1]rt_remap_detail!$E$3:$F$4082,2,0)</f>
        <v>#N/A</v>
      </c>
      <c r="D706" t="s">
        <v>1696</v>
      </c>
      <c r="E706" t="s">
        <v>1697</v>
      </c>
    </row>
    <row r="707" spans="1:5" customFormat="1" ht="12.75" hidden="1" x14ac:dyDescent="0.2">
      <c r="A707" s="9" t="s">
        <v>672</v>
      </c>
      <c r="C707" t="e">
        <f>VLOOKUP(B707,[1]rt_remap_detail!$E$3:$F$4082,2,0)</f>
        <v>#N/A</v>
      </c>
      <c r="D707" t="s">
        <v>1696</v>
      </c>
      <c r="E707" t="s">
        <v>1697</v>
      </c>
    </row>
    <row r="708" spans="1:5" customFormat="1" ht="12.75" hidden="1" x14ac:dyDescent="0.2">
      <c r="A708" s="10" t="s">
        <v>674</v>
      </c>
      <c r="C708" t="e">
        <f>VLOOKUP(B708,[1]rt_remap_detail!$E$3:$F$4082,2,0)</f>
        <v>#N/A</v>
      </c>
      <c r="D708" t="s">
        <v>1696</v>
      </c>
      <c r="E708" t="s">
        <v>1697</v>
      </c>
    </row>
    <row r="709" spans="1:5" customFormat="1" ht="12.75" hidden="1" x14ac:dyDescent="0.2">
      <c r="A709" s="10" t="s">
        <v>677</v>
      </c>
      <c r="C709" t="e">
        <f>VLOOKUP(B709,[1]rt_remap_detail!$E$3:$F$4082,2,0)</f>
        <v>#N/A</v>
      </c>
      <c r="D709" t="s">
        <v>1696</v>
      </c>
      <c r="E709" t="s">
        <v>1697</v>
      </c>
    </row>
    <row r="710" spans="1:5" customFormat="1" ht="12.75" hidden="1" x14ac:dyDescent="0.2">
      <c r="A710" s="9" t="s">
        <v>679</v>
      </c>
      <c r="C710" t="e">
        <f>VLOOKUP(B710,[1]rt_remap_detail!$E$3:$F$4082,2,0)</f>
        <v>#N/A</v>
      </c>
      <c r="D710" t="s">
        <v>1696</v>
      </c>
      <c r="E710" t="s">
        <v>1697</v>
      </c>
    </row>
    <row r="711" spans="1:5" customFormat="1" ht="12.75" hidden="1" x14ac:dyDescent="0.2">
      <c r="A711" s="10" t="s">
        <v>680</v>
      </c>
      <c r="C711" t="e">
        <f>VLOOKUP(B711,[1]rt_remap_detail!$E$3:$F$4082,2,0)</f>
        <v>#N/A</v>
      </c>
      <c r="D711" t="s">
        <v>1696</v>
      </c>
      <c r="E711" t="s">
        <v>1697</v>
      </c>
    </row>
    <row r="712" spans="1:5" customFormat="1" ht="12.75" hidden="1" x14ac:dyDescent="0.2">
      <c r="A712" s="9" t="s">
        <v>681</v>
      </c>
      <c r="C712" t="e">
        <f>VLOOKUP(B712,[1]rt_remap_detail!$E$3:$F$4082,2,0)</f>
        <v>#N/A</v>
      </c>
      <c r="D712" t="s">
        <v>1696</v>
      </c>
      <c r="E712" t="s">
        <v>1697</v>
      </c>
    </row>
    <row r="713" spans="1:5" customFormat="1" ht="12.75" hidden="1" x14ac:dyDescent="0.2">
      <c r="A713" s="9" t="s">
        <v>682</v>
      </c>
      <c r="C713" t="e">
        <f>VLOOKUP(B713,[1]rt_remap_detail!$E$3:$F$4082,2,0)</f>
        <v>#N/A</v>
      </c>
      <c r="D713" t="s">
        <v>1696</v>
      </c>
      <c r="E713" t="s">
        <v>1697</v>
      </c>
    </row>
    <row r="714" spans="1:5" customFormat="1" ht="12.75" hidden="1" x14ac:dyDescent="0.2">
      <c r="A714" s="9" t="s">
        <v>683</v>
      </c>
      <c r="C714" t="e">
        <f>VLOOKUP(B714,[1]rt_remap_detail!$E$3:$F$4082,2,0)</f>
        <v>#N/A</v>
      </c>
      <c r="D714" t="s">
        <v>1696</v>
      </c>
      <c r="E714" t="s">
        <v>1697</v>
      </c>
    </row>
    <row r="715" spans="1:5" customFormat="1" ht="12.75" hidden="1" x14ac:dyDescent="0.2">
      <c r="A715" s="10" t="s">
        <v>690</v>
      </c>
      <c r="C715" t="e">
        <f>VLOOKUP(B715,[1]rt_remap_detail!$E$3:$F$4082,2,0)</f>
        <v>#N/A</v>
      </c>
      <c r="D715" t="s">
        <v>1696</v>
      </c>
      <c r="E715" t="s">
        <v>1697</v>
      </c>
    </row>
    <row r="716" spans="1:5" customFormat="1" ht="12.75" hidden="1" x14ac:dyDescent="0.2">
      <c r="A716" s="10" t="s">
        <v>691</v>
      </c>
      <c r="C716" t="e">
        <f>VLOOKUP(B716,[1]rt_remap_detail!$E$3:$F$4082,2,0)</f>
        <v>#N/A</v>
      </c>
      <c r="D716" t="s">
        <v>1696</v>
      </c>
      <c r="E716" t="s">
        <v>1697</v>
      </c>
    </row>
    <row r="717" spans="1:5" customFormat="1" ht="12.75" hidden="1" x14ac:dyDescent="0.2">
      <c r="A717" s="10" t="s">
        <v>695</v>
      </c>
      <c r="C717" t="e">
        <f>VLOOKUP(B717,[1]rt_remap_detail!$E$3:$F$4082,2,0)</f>
        <v>#N/A</v>
      </c>
      <c r="D717" t="s">
        <v>1696</v>
      </c>
      <c r="E717" t="s">
        <v>1697</v>
      </c>
    </row>
    <row r="718" spans="1:5" customFormat="1" ht="12.75" hidden="1" x14ac:dyDescent="0.2">
      <c r="A718" s="10" t="s">
        <v>696</v>
      </c>
      <c r="C718" t="e">
        <f>VLOOKUP(B718,[1]rt_remap_detail!$E$3:$F$4082,2,0)</f>
        <v>#N/A</v>
      </c>
      <c r="D718" t="s">
        <v>1696</v>
      </c>
      <c r="E718" t="s">
        <v>1697</v>
      </c>
    </row>
    <row r="719" spans="1:5" customFormat="1" ht="12.75" hidden="1" x14ac:dyDescent="0.2">
      <c r="A719" s="10" t="s">
        <v>698</v>
      </c>
      <c r="C719" t="e">
        <f>VLOOKUP(B719,[1]rt_remap_detail!$E$3:$F$4082,2,0)</f>
        <v>#N/A</v>
      </c>
      <c r="D719" t="s">
        <v>1696</v>
      </c>
      <c r="E719" t="s">
        <v>1697</v>
      </c>
    </row>
    <row r="720" spans="1:5" customFormat="1" ht="12.75" hidden="1" x14ac:dyDescent="0.2">
      <c r="A720" s="10" t="s">
        <v>699</v>
      </c>
      <c r="C720" t="e">
        <f>VLOOKUP(B720,[1]rt_remap_detail!$E$3:$F$4082,2,0)</f>
        <v>#N/A</v>
      </c>
      <c r="D720" t="s">
        <v>1696</v>
      </c>
      <c r="E720" t="s">
        <v>1697</v>
      </c>
    </row>
    <row r="721" spans="1:5" customFormat="1" ht="12.75" hidden="1" x14ac:dyDescent="0.2">
      <c r="A721" s="9" t="s">
        <v>700</v>
      </c>
      <c r="C721" t="e">
        <f>VLOOKUP(B721,[1]rt_remap_detail!$E$3:$F$4082,2,0)</f>
        <v>#N/A</v>
      </c>
      <c r="D721" t="s">
        <v>1696</v>
      </c>
      <c r="E721" t="s">
        <v>1697</v>
      </c>
    </row>
    <row r="722" spans="1:5" customFormat="1" ht="12.75" hidden="1" x14ac:dyDescent="0.2">
      <c r="A722" s="9" t="s">
        <v>701</v>
      </c>
      <c r="C722" t="e">
        <f>VLOOKUP(B722,[1]rt_remap_detail!$E$3:$F$4082,2,0)</f>
        <v>#N/A</v>
      </c>
      <c r="D722" t="s">
        <v>1696</v>
      </c>
      <c r="E722" t="s">
        <v>1697</v>
      </c>
    </row>
    <row r="723" spans="1:5" customFormat="1" ht="12.75" hidden="1" x14ac:dyDescent="0.2">
      <c r="A723" s="10" t="s">
        <v>702</v>
      </c>
      <c r="C723" t="e">
        <f>VLOOKUP(B723,[1]rt_remap_detail!$E$3:$F$4082,2,0)</f>
        <v>#N/A</v>
      </c>
      <c r="D723" t="s">
        <v>1696</v>
      </c>
      <c r="E723" t="s">
        <v>1697</v>
      </c>
    </row>
    <row r="724" spans="1:5" customFormat="1" ht="12.75" hidden="1" x14ac:dyDescent="0.2">
      <c r="A724" s="9" t="s">
        <v>704</v>
      </c>
      <c r="C724" t="e">
        <f>VLOOKUP(B724,[1]rt_remap_detail!$E$3:$F$4082,2,0)</f>
        <v>#N/A</v>
      </c>
      <c r="D724" t="s">
        <v>1696</v>
      </c>
      <c r="E724" t="s">
        <v>1697</v>
      </c>
    </row>
    <row r="725" spans="1:5" customFormat="1" ht="12.75" hidden="1" x14ac:dyDescent="0.2">
      <c r="A725" s="10" t="s">
        <v>706</v>
      </c>
      <c r="C725" t="e">
        <f>VLOOKUP(B725,[1]rt_remap_detail!$E$3:$F$4082,2,0)</f>
        <v>#N/A</v>
      </c>
      <c r="D725" t="s">
        <v>1696</v>
      </c>
      <c r="E725" t="s">
        <v>1697</v>
      </c>
    </row>
    <row r="726" spans="1:5" customFormat="1" ht="12.75" hidden="1" x14ac:dyDescent="0.2">
      <c r="A726" s="9" t="s">
        <v>712</v>
      </c>
      <c r="C726" t="e">
        <f>VLOOKUP(B726,[1]rt_remap_detail!$E$3:$F$4082,2,0)</f>
        <v>#N/A</v>
      </c>
      <c r="D726" t="s">
        <v>1696</v>
      </c>
      <c r="E726" t="s">
        <v>1697</v>
      </c>
    </row>
    <row r="727" spans="1:5" customFormat="1" ht="12.75" hidden="1" x14ac:dyDescent="0.2">
      <c r="A727" s="10" t="s">
        <v>719</v>
      </c>
      <c r="C727" t="e">
        <f>VLOOKUP(B727,[1]rt_remap_detail!$E$3:$F$4082,2,0)</f>
        <v>#N/A</v>
      </c>
      <c r="D727" t="s">
        <v>1696</v>
      </c>
      <c r="E727" t="s">
        <v>1697</v>
      </c>
    </row>
    <row r="728" spans="1:5" customFormat="1" ht="12.75" hidden="1" x14ac:dyDescent="0.2">
      <c r="A728" s="10" t="s">
        <v>720</v>
      </c>
      <c r="C728" t="e">
        <f>VLOOKUP(B728,[1]rt_remap_detail!$E$3:$F$4082,2,0)</f>
        <v>#N/A</v>
      </c>
      <c r="D728" t="s">
        <v>1696</v>
      </c>
      <c r="E728" t="s">
        <v>1697</v>
      </c>
    </row>
    <row r="729" spans="1:5" customFormat="1" ht="12.75" hidden="1" x14ac:dyDescent="0.2">
      <c r="A729" s="10" t="s">
        <v>721</v>
      </c>
      <c r="C729" t="e">
        <f>VLOOKUP(B729,[1]rt_remap_detail!$E$3:$F$4082,2,0)</f>
        <v>#N/A</v>
      </c>
      <c r="D729" t="s">
        <v>1696</v>
      </c>
      <c r="E729" t="s">
        <v>1697</v>
      </c>
    </row>
    <row r="730" spans="1:5" customFormat="1" ht="12.75" hidden="1" x14ac:dyDescent="0.2">
      <c r="A730" s="10" t="s">
        <v>722</v>
      </c>
      <c r="C730" t="e">
        <f>VLOOKUP(B730,[1]rt_remap_detail!$E$3:$F$4082,2,0)</f>
        <v>#N/A</v>
      </c>
      <c r="D730" t="s">
        <v>1696</v>
      </c>
      <c r="E730" t="s">
        <v>1697</v>
      </c>
    </row>
    <row r="731" spans="1:5" customFormat="1" ht="12.75" hidden="1" x14ac:dyDescent="0.2">
      <c r="A731" s="9" t="s">
        <v>723</v>
      </c>
      <c r="C731" t="e">
        <f>VLOOKUP(B731,[1]rt_remap_detail!$E$3:$F$4082,2,0)</f>
        <v>#N/A</v>
      </c>
      <c r="D731" t="s">
        <v>1696</v>
      </c>
      <c r="E731" t="s">
        <v>1697</v>
      </c>
    </row>
    <row r="732" spans="1:5" customFormat="1" ht="12.75" hidden="1" x14ac:dyDescent="0.2">
      <c r="A732" s="9" t="s">
        <v>725</v>
      </c>
      <c r="C732" t="e">
        <f>VLOOKUP(B732,[1]rt_remap_detail!$E$3:$F$4082,2,0)</f>
        <v>#N/A</v>
      </c>
      <c r="D732" t="s">
        <v>1696</v>
      </c>
      <c r="E732" t="s">
        <v>1697</v>
      </c>
    </row>
    <row r="733" spans="1:5" customFormat="1" ht="12.75" hidden="1" x14ac:dyDescent="0.2">
      <c r="A733" s="9" t="s">
        <v>732</v>
      </c>
      <c r="C733" t="e">
        <f>VLOOKUP(B733,[1]rt_remap_detail!$E$3:$F$4082,2,0)</f>
        <v>#N/A</v>
      </c>
      <c r="D733" t="s">
        <v>1696</v>
      </c>
      <c r="E733" t="s">
        <v>1697</v>
      </c>
    </row>
    <row r="734" spans="1:5" customFormat="1" ht="12.75" hidden="1" x14ac:dyDescent="0.2">
      <c r="A734" s="9" t="s">
        <v>734</v>
      </c>
      <c r="C734" t="e">
        <f>VLOOKUP(B734,[1]rt_remap_detail!$E$3:$F$4082,2,0)</f>
        <v>#N/A</v>
      </c>
      <c r="D734" t="s">
        <v>1696</v>
      </c>
      <c r="E734" t="s">
        <v>1697</v>
      </c>
    </row>
    <row r="735" spans="1:5" customFormat="1" ht="12.75" hidden="1" x14ac:dyDescent="0.2">
      <c r="A735" s="10" t="s">
        <v>735</v>
      </c>
      <c r="C735" t="e">
        <f>VLOOKUP(B735,[1]rt_remap_detail!$E$3:$F$4082,2,0)</f>
        <v>#N/A</v>
      </c>
      <c r="D735" t="s">
        <v>1696</v>
      </c>
      <c r="E735" t="s">
        <v>1697</v>
      </c>
    </row>
    <row r="736" spans="1:5" customFormat="1" ht="12.75" hidden="1" x14ac:dyDescent="0.2">
      <c r="A736" s="10" t="s">
        <v>739</v>
      </c>
      <c r="C736" t="e">
        <f>VLOOKUP(B736,[1]rt_remap_detail!$E$3:$F$4082,2,0)</f>
        <v>#N/A</v>
      </c>
      <c r="D736" t="s">
        <v>1696</v>
      </c>
      <c r="E736" t="s">
        <v>1697</v>
      </c>
    </row>
    <row r="737" spans="1:5" customFormat="1" ht="12.75" hidden="1" x14ac:dyDescent="0.2">
      <c r="A737" s="9" t="s">
        <v>740</v>
      </c>
      <c r="C737" t="e">
        <f>VLOOKUP(B737,[1]rt_remap_detail!$E$3:$F$4082,2,0)</f>
        <v>#N/A</v>
      </c>
      <c r="D737" t="s">
        <v>1696</v>
      </c>
      <c r="E737" t="s">
        <v>1697</v>
      </c>
    </row>
    <row r="738" spans="1:5" customFormat="1" ht="12.75" hidden="1" x14ac:dyDescent="0.2">
      <c r="A738" s="10" t="s">
        <v>742</v>
      </c>
      <c r="C738" t="e">
        <f>VLOOKUP(B738,[1]rt_remap_detail!$E$3:$F$4082,2,0)</f>
        <v>#N/A</v>
      </c>
      <c r="D738" t="s">
        <v>1696</v>
      </c>
      <c r="E738" t="s">
        <v>1697</v>
      </c>
    </row>
    <row r="739" spans="1:5" customFormat="1" ht="12.75" hidden="1" x14ac:dyDescent="0.2">
      <c r="A739" s="10" t="s">
        <v>743</v>
      </c>
      <c r="C739" t="e">
        <f>VLOOKUP(B739,[1]rt_remap_detail!$E$3:$F$4082,2,0)</f>
        <v>#N/A</v>
      </c>
      <c r="D739" t="s">
        <v>1696</v>
      </c>
      <c r="E739" t="s">
        <v>1697</v>
      </c>
    </row>
    <row r="740" spans="1:5" customFormat="1" ht="12.75" hidden="1" x14ac:dyDescent="0.2">
      <c r="A740" s="9" t="s">
        <v>745</v>
      </c>
      <c r="C740" t="e">
        <f>VLOOKUP(B740,[1]rt_remap_detail!$E$3:$F$4082,2,0)</f>
        <v>#N/A</v>
      </c>
      <c r="D740" t="s">
        <v>1696</v>
      </c>
      <c r="E740" t="s">
        <v>1697</v>
      </c>
    </row>
    <row r="741" spans="1:5" customFormat="1" ht="12.75" hidden="1" x14ac:dyDescent="0.2">
      <c r="A741" s="9" t="s">
        <v>746</v>
      </c>
      <c r="C741" t="e">
        <f>VLOOKUP(B741,[1]rt_remap_detail!$E$3:$F$4082,2,0)</f>
        <v>#N/A</v>
      </c>
      <c r="D741" t="s">
        <v>1696</v>
      </c>
      <c r="E741" t="s">
        <v>1697</v>
      </c>
    </row>
    <row r="742" spans="1:5" customFormat="1" ht="12.75" hidden="1" x14ac:dyDescent="0.2">
      <c r="A742" s="10" t="s">
        <v>747</v>
      </c>
      <c r="C742" t="e">
        <f>VLOOKUP(B742,[1]rt_remap_detail!$E$3:$F$4082,2,0)</f>
        <v>#N/A</v>
      </c>
      <c r="D742" t="s">
        <v>1696</v>
      </c>
      <c r="E742" t="s">
        <v>1697</v>
      </c>
    </row>
    <row r="743" spans="1:5" customFormat="1" ht="12.75" hidden="1" x14ac:dyDescent="0.2">
      <c r="A743" s="9" t="s">
        <v>748</v>
      </c>
      <c r="C743" t="e">
        <f>VLOOKUP(B743,[1]rt_remap_detail!$E$3:$F$4082,2,0)</f>
        <v>#N/A</v>
      </c>
      <c r="D743" t="s">
        <v>1696</v>
      </c>
      <c r="E743" t="s">
        <v>1697</v>
      </c>
    </row>
    <row r="744" spans="1:5" customFormat="1" ht="12.75" hidden="1" x14ac:dyDescent="0.2">
      <c r="A744" s="10" t="s">
        <v>749</v>
      </c>
      <c r="C744" t="e">
        <f>VLOOKUP(B744,[1]rt_remap_detail!$E$3:$F$4082,2,0)</f>
        <v>#N/A</v>
      </c>
      <c r="D744" t="s">
        <v>1696</v>
      </c>
      <c r="E744" t="s">
        <v>1697</v>
      </c>
    </row>
    <row r="745" spans="1:5" customFormat="1" ht="12.75" hidden="1" x14ac:dyDescent="0.2">
      <c r="A745" s="10" t="s">
        <v>750</v>
      </c>
      <c r="C745" t="e">
        <f>VLOOKUP(B745,[1]rt_remap_detail!$E$3:$F$4082,2,0)</f>
        <v>#N/A</v>
      </c>
      <c r="D745" t="s">
        <v>1696</v>
      </c>
      <c r="E745" t="s">
        <v>1697</v>
      </c>
    </row>
    <row r="746" spans="1:5" customFormat="1" ht="12.75" hidden="1" x14ac:dyDescent="0.2">
      <c r="A746" s="10" t="s">
        <v>751</v>
      </c>
      <c r="C746" t="e">
        <f>VLOOKUP(B746,[1]rt_remap_detail!$E$3:$F$4082,2,0)</f>
        <v>#N/A</v>
      </c>
      <c r="D746" t="s">
        <v>1696</v>
      </c>
      <c r="E746" t="s">
        <v>1697</v>
      </c>
    </row>
    <row r="747" spans="1:5" customFormat="1" ht="12.75" hidden="1" x14ac:dyDescent="0.2">
      <c r="A747" s="9" t="s">
        <v>753</v>
      </c>
      <c r="C747" t="e">
        <f>VLOOKUP(B747,[1]rt_remap_detail!$E$3:$F$4082,2,0)</f>
        <v>#N/A</v>
      </c>
      <c r="D747" t="s">
        <v>1696</v>
      </c>
      <c r="E747" t="s">
        <v>1697</v>
      </c>
    </row>
    <row r="748" spans="1:5" customFormat="1" ht="12.75" hidden="1" x14ac:dyDescent="0.2">
      <c r="A748" s="9" t="s">
        <v>754</v>
      </c>
      <c r="C748" t="e">
        <f>VLOOKUP(B748,[1]rt_remap_detail!$E$3:$F$4082,2,0)</f>
        <v>#N/A</v>
      </c>
      <c r="D748" t="s">
        <v>1696</v>
      </c>
      <c r="E748" t="s">
        <v>1697</v>
      </c>
    </row>
    <row r="749" spans="1:5" customFormat="1" ht="12.75" hidden="1" x14ac:dyDescent="0.2">
      <c r="A749" s="10" t="s">
        <v>755</v>
      </c>
      <c r="C749" t="e">
        <f>VLOOKUP(B749,[1]rt_remap_detail!$E$3:$F$4082,2,0)</f>
        <v>#N/A</v>
      </c>
      <c r="D749" t="s">
        <v>1696</v>
      </c>
      <c r="E749" t="s">
        <v>1697</v>
      </c>
    </row>
    <row r="750" spans="1:5" customFormat="1" ht="12.75" hidden="1" x14ac:dyDescent="0.2">
      <c r="A750" s="10" t="s">
        <v>756</v>
      </c>
      <c r="C750" t="e">
        <f>VLOOKUP(B750,[1]rt_remap_detail!$E$3:$F$4082,2,0)</f>
        <v>#N/A</v>
      </c>
      <c r="D750" t="s">
        <v>1696</v>
      </c>
      <c r="E750" t="s">
        <v>1697</v>
      </c>
    </row>
    <row r="751" spans="1:5" customFormat="1" ht="12.75" hidden="1" x14ac:dyDescent="0.2">
      <c r="A751" s="10" t="s">
        <v>757</v>
      </c>
      <c r="C751" t="e">
        <f>VLOOKUP(B751,[1]rt_remap_detail!$E$3:$F$4082,2,0)</f>
        <v>#N/A</v>
      </c>
      <c r="D751" t="s">
        <v>1696</v>
      </c>
      <c r="E751" t="s">
        <v>1697</v>
      </c>
    </row>
    <row r="752" spans="1:5" customFormat="1" ht="12.75" hidden="1" x14ac:dyDescent="0.2">
      <c r="A752" s="10" t="s">
        <v>758</v>
      </c>
      <c r="C752" t="e">
        <f>VLOOKUP(B752,[1]rt_remap_detail!$E$3:$F$4082,2,0)</f>
        <v>#N/A</v>
      </c>
      <c r="D752" t="s">
        <v>1696</v>
      </c>
      <c r="E752" t="s">
        <v>1697</v>
      </c>
    </row>
    <row r="753" spans="1:5" customFormat="1" ht="12.75" hidden="1" x14ac:dyDescent="0.2">
      <c r="A753" s="10" t="s">
        <v>759</v>
      </c>
      <c r="C753" t="e">
        <f>VLOOKUP(B753,[1]rt_remap_detail!$E$3:$F$4082,2,0)</f>
        <v>#N/A</v>
      </c>
      <c r="D753" t="s">
        <v>1696</v>
      </c>
      <c r="E753" t="s">
        <v>1697</v>
      </c>
    </row>
    <row r="754" spans="1:5" customFormat="1" ht="12.75" hidden="1" x14ac:dyDescent="0.2">
      <c r="A754" s="10" t="s">
        <v>760</v>
      </c>
      <c r="C754" t="e">
        <f>VLOOKUP(B754,[1]rt_remap_detail!$E$3:$F$4082,2,0)</f>
        <v>#N/A</v>
      </c>
      <c r="D754" t="s">
        <v>1696</v>
      </c>
      <c r="E754" t="s">
        <v>1697</v>
      </c>
    </row>
    <row r="755" spans="1:5" customFormat="1" ht="12.75" hidden="1" x14ac:dyDescent="0.2">
      <c r="A755" s="9" t="s">
        <v>761</v>
      </c>
      <c r="C755" t="e">
        <f>VLOOKUP(B755,[1]rt_remap_detail!$E$3:$F$4082,2,0)</f>
        <v>#N/A</v>
      </c>
      <c r="D755" t="s">
        <v>1696</v>
      </c>
      <c r="E755" t="s">
        <v>1697</v>
      </c>
    </row>
    <row r="756" spans="1:5" customFormat="1" ht="12.75" hidden="1" x14ac:dyDescent="0.2">
      <c r="A756" s="10" t="s">
        <v>762</v>
      </c>
      <c r="C756" t="e">
        <f>VLOOKUP(B756,[1]rt_remap_detail!$E$3:$F$4082,2,0)</f>
        <v>#N/A</v>
      </c>
      <c r="D756" t="s">
        <v>1696</v>
      </c>
      <c r="E756" t="s">
        <v>1697</v>
      </c>
    </row>
    <row r="757" spans="1:5" customFormat="1" ht="12.75" hidden="1" x14ac:dyDescent="0.2">
      <c r="A757" s="9" t="s">
        <v>763</v>
      </c>
      <c r="C757" t="e">
        <f>VLOOKUP(B757,[1]rt_remap_detail!$E$3:$F$4082,2,0)</f>
        <v>#N/A</v>
      </c>
      <c r="D757" t="s">
        <v>1696</v>
      </c>
      <c r="E757" t="s">
        <v>1697</v>
      </c>
    </row>
    <row r="758" spans="1:5" customFormat="1" ht="12.75" hidden="1" x14ac:dyDescent="0.2">
      <c r="A758" s="9" t="s">
        <v>764</v>
      </c>
      <c r="C758" t="e">
        <f>VLOOKUP(B758,[1]rt_remap_detail!$E$3:$F$4082,2,0)</f>
        <v>#N/A</v>
      </c>
      <c r="D758" t="s">
        <v>1696</v>
      </c>
      <c r="E758" t="s">
        <v>1697</v>
      </c>
    </row>
    <row r="759" spans="1:5" customFormat="1" ht="12.75" hidden="1" x14ac:dyDescent="0.2">
      <c r="A759" s="10" t="s">
        <v>770</v>
      </c>
      <c r="C759" t="e">
        <f>VLOOKUP(B759,[1]rt_remap_detail!$E$3:$F$4082,2,0)</f>
        <v>#N/A</v>
      </c>
      <c r="D759" t="s">
        <v>1696</v>
      </c>
      <c r="E759" t="s">
        <v>1697</v>
      </c>
    </row>
    <row r="760" spans="1:5" customFormat="1" ht="12.75" hidden="1" x14ac:dyDescent="0.2">
      <c r="A760" s="10" t="s">
        <v>771</v>
      </c>
      <c r="C760" t="e">
        <f>VLOOKUP(B760,[1]rt_remap_detail!$E$3:$F$4082,2,0)</f>
        <v>#N/A</v>
      </c>
      <c r="D760" t="s">
        <v>1696</v>
      </c>
      <c r="E760" t="s">
        <v>1697</v>
      </c>
    </row>
    <row r="761" spans="1:5" customFormat="1" ht="12.75" hidden="1" x14ac:dyDescent="0.2">
      <c r="A761" s="10" t="s">
        <v>772</v>
      </c>
      <c r="C761" t="e">
        <f>VLOOKUP(B761,[1]rt_remap_detail!$E$3:$F$4082,2,0)</f>
        <v>#N/A</v>
      </c>
      <c r="D761" t="s">
        <v>1696</v>
      </c>
      <c r="E761" t="s">
        <v>1697</v>
      </c>
    </row>
    <row r="762" spans="1:5" customFormat="1" ht="12.75" hidden="1" x14ac:dyDescent="0.2">
      <c r="A762" s="10" t="s">
        <v>773</v>
      </c>
      <c r="C762" t="e">
        <f>VLOOKUP(B762,[1]rt_remap_detail!$E$3:$F$4082,2,0)</f>
        <v>#N/A</v>
      </c>
      <c r="D762" t="s">
        <v>1696</v>
      </c>
      <c r="E762" t="s">
        <v>1697</v>
      </c>
    </row>
    <row r="763" spans="1:5" customFormat="1" ht="12.75" hidden="1" x14ac:dyDescent="0.2">
      <c r="A763" s="9" t="s">
        <v>777</v>
      </c>
      <c r="C763" t="e">
        <f>VLOOKUP(B763,[1]rt_remap_detail!$E$3:$F$4082,2,0)</f>
        <v>#N/A</v>
      </c>
      <c r="D763" t="s">
        <v>1696</v>
      </c>
      <c r="E763" t="s">
        <v>1697</v>
      </c>
    </row>
    <row r="764" spans="1:5" customFormat="1" ht="12.75" hidden="1" x14ac:dyDescent="0.2">
      <c r="A764" s="10" t="s">
        <v>779</v>
      </c>
      <c r="C764" t="e">
        <f>VLOOKUP(B764,[1]rt_remap_detail!$E$3:$F$4082,2,0)</f>
        <v>#N/A</v>
      </c>
      <c r="D764" t="s">
        <v>1696</v>
      </c>
      <c r="E764" t="s">
        <v>1697</v>
      </c>
    </row>
    <row r="765" spans="1:5" customFormat="1" ht="12.75" hidden="1" x14ac:dyDescent="0.2">
      <c r="A765" s="10" t="s">
        <v>782</v>
      </c>
      <c r="C765" t="e">
        <f>VLOOKUP(B765,[1]rt_remap_detail!$E$3:$F$4082,2,0)</f>
        <v>#N/A</v>
      </c>
      <c r="D765" t="s">
        <v>1696</v>
      </c>
      <c r="E765" t="s">
        <v>1697</v>
      </c>
    </row>
    <row r="766" spans="1:5" customFormat="1" ht="12.75" hidden="1" x14ac:dyDescent="0.2">
      <c r="A766" s="9" t="s">
        <v>783</v>
      </c>
      <c r="C766" t="e">
        <f>VLOOKUP(B766,[1]rt_remap_detail!$E$3:$F$4082,2,0)</f>
        <v>#N/A</v>
      </c>
      <c r="D766" t="s">
        <v>1696</v>
      </c>
      <c r="E766" t="s">
        <v>1697</v>
      </c>
    </row>
    <row r="767" spans="1:5" customFormat="1" ht="12.75" hidden="1" x14ac:dyDescent="0.2">
      <c r="A767" s="9" t="s">
        <v>784</v>
      </c>
      <c r="C767" t="e">
        <f>VLOOKUP(B767,[1]rt_remap_detail!$E$3:$F$4082,2,0)</f>
        <v>#N/A</v>
      </c>
      <c r="D767" t="s">
        <v>1696</v>
      </c>
      <c r="E767" t="s">
        <v>1697</v>
      </c>
    </row>
    <row r="768" spans="1:5" customFormat="1" ht="12.75" hidden="1" x14ac:dyDescent="0.2">
      <c r="A768" s="9" t="s">
        <v>785</v>
      </c>
      <c r="C768" t="e">
        <f>VLOOKUP(B768,[1]rt_remap_detail!$E$3:$F$4082,2,0)</f>
        <v>#N/A</v>
      </c>
      <c r="D768" t="s">
        <v>1696</v>
      </c>
      <c r="E768" t="s">
        <v>1697</v>
      </c>
    </row>
    <row r="769" spans="1:5" customFormat="1" ht="12.75" hidden="1" x14ac:dyDescent="0.2">
      <c r="A769" s="10" t="s">
        <v>786</v>
      </c>
      <c r="C769" t="e">
        <f>VLOOKUP(B769,[1]rt_remap_detail!$E$3:$F$4082,2,0)</f>
        <v>#N/A</v>
      </c>
      <c r="D769" t="s">
        <v>1696</v>
      </c>
      <c r="E769" t="s">
        <v>1697</v>
      </c>
    </row>
    <row r="770" spans="1:5" customFormat="1" ht="12.75" hidden="1" x14ac:dyDescent="0.2">
      <c r="A770" s="9" t="s">
        <v>787</v>
      </c>
      <c r="C770" t="e">
        <f>VLOOKUP(B770,[1]rt_remap_detail!$E$3:$F$4082,2,0)</f>
        <v>#N/A</v>
      </c>
      <c r="D770" t="s">
        <v>1696</v>
      </c>
      <c r="E770" t="s">
        <v>1697</v>
      </c>
    </row>
    <row r="771" spans="1:5" customFormat="1" ht="12.75" hidden="1" x14ac:dyDescent="0.2">
      <c r="A771" s="9" t="s">
        <v>792</v>
      </c>
      <c r="C771" t="e">
        <f>VLOOKUP(B771,[1]rt_remap_detail!$E$3:$F$4082,2,0)</f>
        <v>#N/A</v>
      </c>
      <c r="D771" t="s">
        <v>1696</v>
      </c>
      <c r="E771" t="s">
        <v>1697</v>
      </c>
    </row>
    <row r="772" spans="1:5" customFormat="1" ht="12.75" hidden="1" x14ac:dyDescent="0.2">
      <c r="A772" s="10" t="s">
        <v>795</v>
      </c>
      <c r="C772" t="e">
        <f>VLOOKUP(B772,[1]rt_remap_detail!$E$3:$F$4082,2,0)</f>
        <v>#N/A</v>
      </c>
      <c r="D772" t="s">
        <v>1696</v>
      </c>
      <c r="E772" t="s">
        <v>1697</v>
      </c>
    </row>
    <row r="773" spans="1:5" customFormat="1" ht="12.75" hidden="1" x14ac:dyDescent="0.2">
      <c r="A773" s="9" t="s">
        <v>796</v>
      </c>
      <c r="C773" t="e">
        <f>VLOOKUP(B773,[1]rt_remap_detail!$E$3:$F$4082,2,0)</f>
        <v>#N/A</v>
      </c>
      <c r="D773" t="s">
        <v>1696</v>
      </c>
      <c r="E773" t="s">
        <v>1697</v>
      </c>
    </row>
    <row r="774" spans="1:5" customFormat="1" ht="12.75" hidden="1" x14ac:dyDescent="0.2">
      <c r="A774" s="10" t="s">
        <v>797</v>
      </c>
      <c r="C774" t="e">
        <f>VLOOKUP(B774,[1]rt_remap_detail!$E$3:$F$4082,2,0)</f>
        <v>#N/A</v>
      </c>
      <c r="D774" t="s">
        <v>1696</v>
      </c>
      <c r="E774" t="s">
        <v>1697</v>
      </c>
    </row>
    <row r="775" spans="1:5" customFormat="1" ht="12.75" hidden="1" x14ac:dyDescent="0.2">
      <c r="A775" s="10" t="s">
        <v>798</v>
      </c>
      <c r="C775" t="e">
        <f>VLOOKUP(B775,[1]rt_remap_detail!$E$3:$F$4082,2,0)</f>
        <v>#N/A</v>
      </c>
      <c r="D775" t="s">
        <v>1696</v>
      </c>
      <c r="E775" t="s">
        <v>1697</v>
      </c>
    </row>
    <row r="776" spans="1:5" customFormat="1" ht="12.75" hidden="1" x14ac:dyDescent="0.2">
      <c r="A776" s="9" t="s">
        <v>799</v>
      </c>
      <c r="C776" t="e">
        <f>VLOOKUP(B776,[1]rt_remap_detail!$E$3:$F$4082,2,0)</f>
        <v>#N/A</v>
      </c>
      <c r="D776" t="s">
        <v>1696</v>
      </c>
      <c r="E776" t="s">
        <v>1697</v>
      </c>
    </row>
    <row r="777" spans="1:5" customFormat="1" ht="12.75" hidden="1" x14ac:dyDescent="0.2">
      <c r="A777" s="10" t="s">
        <v>800</v>
      </c>
      <c r="C777" t="e">
        <f>VLOOKUP(B777,[1]rt_remap_detail!$E$3:$F$4082,2,0)</f>
        <v>#N/A</v>
      </c>
      <c r="D777" t="s">
        <v>1696</v>
      </c>
      <c r="E777" t="s">
        <v>1697</v>
      </c>
    </row>
    <row r="778" spans="1:5" customFormat="1" ht="12.75" hidden="1" x14ac:dyDescent="0.2">
      <c r="A778" s="10" t="s">
        <v>802</v>
      </c>
      <c r="C778" t="e">
        <f>VLOOKUP(B778,[1]rt_remap_detail!$E$3:$F$4082,2,0)</f>
        <v>#N/A</v>
      </c>
      <c r="D778" t="s">
        <v>1696</v>
      </c>
      <c r="E778" t="s">
        <v>1697</v>
      </c>
    </row>
    <row r="779" spans="1:5" customFormat="1" ht="12.75" hidden="1" x14ac:dyDescent="0.2">
      <c r="A779" s="9" t="s">
        <v>803</v>
      </c>
      <c r="C779" t="e">
        <f>VLOOKUP(B779,[1]rt_remap_detail!$E$3:$F$4082,2,0)</f>
        <v>#N/A</v>
      </c>
      <c r="D779" t="s">
        <v>1696</v>
      </c>
      <c r="E779" t="s">
        <v>1697</v>
      </c>
    </row>
    <row r="780" spans="1:5" customFormat="1" ht="12.75" hidden="1" x14ac:dyDescent="0.2">
      <c r="A780" s="9" t="s">
        <v>804</v>
      </c>
      <c r="C780" t="e">
        <f>VLOOKUP(B780,[1]rt_remap_detail!$E$3:$F$4082,2,0)</f>
        <v>#N/A</v>
      </c>
      <c r="D780" t="s">
        <v>1696</v>
      </c>
      <c r="E780" t="s">
        <v>1697</v>
      </c>
    </row>
    <row r="781" spans="1:5" customFormat="1" ht="12.75" hidden="1" x14ac:dyDescent="0.2">
      <c r="A781" s="9" t="s">
        <v>805</v>
      </c>
      <c r="C781" t="e">
        <f>VLOOKUP(B781,[1]rt_remap_detail!$E$3:$F$4082,2,0)</f>
        <v>#N/A</v>
      </c>
      <c r="D781" t="s">
        <v>1696</v>
      </c>
      <c r="E781" t="s">
        <v>1697</v>
      </c>
    </row>
    <row r="782" spans="1:5" customFormat="1" ht="12.75" hidden="1" x14ac:dyDescent="0.2">
      <c r="A782" s="9" t="s">
        <v>806</v>
      </c>
      <c r="C782" t="e">
        <f>VLOOKUP(B782,[1]rt_remap_detail!$E$3:$F$4082,2,0)</f>
        <v>#N/A</v>
      </c>
      <c r="D782" t="s">
        <v>1696</v>
      </c>
      <c r="E782" t="s">
        <v>1697</v>
      </c>
    </row>
    <row r="783" spans="1:5" customFormat="1" ht="12.75" hidden="1" x14ac:dyDescent="0.2">
      <c r="A783" s="9" t="s">
        <v>808</v>
      </c>
      <c r="C783" t="e">
        <f>VLOOKUP(B783,[1]rt_remap_detail!$E$3:$F$4082,2,0)</f>
        <v>#N/A</v>
      </c>
      <c r="D783" t="s">
        <v>1696</v>
      </c>
      <c r="E783" t="s">
        <v>1697</v>
      </c>
    </row>
    <row r="784" spans="1:5" customFormat="1" ht="12.75" hidden="1" x14ac:dyDescent="0.2">
      <c r="A784" s="10" t="s">
        <v>809</v>
      </c>
      <c r="C784" t="e">
        <f>VLOOKUP(B784,[1]rt_remap_detail!$E$3:$F$4082,2,0)</f>
        <v>#N/A</v>
      </c>
      <c r="D784" t="s">
        <v>1696</v>
      </c>
      <c r="E784" t="s">
        <v>1697</v>
      </c>
    </row>
    <row r="785" spans="1:5" customFormat="1" ht="12.75" hidden="1" x14ac:dyDescent="0.2">
      <c r="A785" s="9" t="s">
        <v>810</v>
      </c>
      <c r="C785" t="e">
        <f>VLOOKUP(B785,[1]rt_remap_detail!$E$3:$F$4082,2,0)</f>
        <v>#N/A</v>
      </c>
      <c r="D785" t="s">
        <v>1696</v>
      </c>
      <c r="E785" t="s">
        <v>1697</v>
      </c>
    </row>
    <row r="786" spans="1:5" customFormat="1" ht="12.75" hidden="1" x14ac:dyDescent="0.2">
      <c r="A786" s="9" t="s">
        <v>811</v>
      </c>
      <c r="C786" t="e">
        <f>VLOOKUP(B786,[1]rt_remap_detail!$E$3:$F$4082,2,0)</f>
        <v>#N/A</v>
      </c>
      <c r="D786" t="s">
        <v>1696</v>
      </c>
      <c r="E786" t="s">
        <v>1697</v>
      </c>
    </row>
    <row r="787" spans="1:5" customFormat="1" ht="12.75" hidden="1" x14ac:dyDescent="0.2">
      <c r="A787" s="10" t="s">
        <v>813</v>
      </c>
      <c r="C787" t="e">
        <f>VLOOKUP(B787,[1]rt_remap_detail!$E$3:$F$4082,2,0)</f>
        <v>#N/A</v>
      </c>
      <c r="D787" t="s">
        <v>1696</v>
      </c>
      <c r="E787" t="s">
        <v>1697</v>
      </c>
    </row>
    <row r="788" spans="1:5" customFormat="1" ht="12.75" hidden="1" x14ac:dyDescent="0.2">
      <c r="A788" s="10" t="s">
        <v>814</v>
      </c>
      <c r="C788" t="e">
        <f>VLOOKUP(B788,[1]rt_remap_detail!$E$3:$F$4082,2,0)</f>
        <v>#N/A</v>
      </c>
      <c r="D788" t="s">
        <v>1696</v>
      </c>
      <c r="E788" t="s">
        <v>1697</v>
      </c>
    </row>
    <row r="789" spans="1:5" customFormat="1" ht="12.75" hidden="1" x14ac:dyDescent="0.2">
      <c r="A789" s="9" t="s">
        <v>815</v>
      </c>
      <c r="C789" t="e">
        <f>VLOOKUP(B789,[1]rt_remap_detail!$E$3:$F$4082,2,0)</f>
        <v>#N/A</v>
      </c>
      <c r="D789" t="s">
        <v>1696</v>
      </c>
      <c r="E789" t="s">
        <v>1697</v>
      </c>
    </row>
    <row r="790" spans="1:5" customFormat="1" ht="12.75" hidden="1" x14ac:dyDescent="0.2">
      <c r="A790" s="9" t="s">
        <v>819</v>
      </c>
      <c r="C790" t="e">
        <f>VLOOKUP(B790,[1]rt_remap_detail!$E$3:$F$4082,2,0)</f>
        <v>#N/A</v>
      </c>
      <c r="D790" t="s">
        <v>1696</v>
      </c>
      <c r="E790" t="s">
        <v>1697</v>
      </c>
    </row>
    <row r="791" spans="1:5" customFormat="1" ht="12.75" hidden="1" x14ac:dyDescent="0.2">
      <c r="A791" s="9" t="s">
        <v>821</v>
      </c>
      <c r="C791" t="e">
        <f>VLOOKUP(B791,[1]rt_remap_detail!$E$3:$F$4082,2,0)</f>
        <v>#N/A</v>
      </c>
      <c r="D791" t="s">
        <v>1696</v>
      </c>
      <c r="E791" t="s">
        <v>1697</v>
      </c>
    </row>
    <row r="792" spans="1:5" customFormat="1" ht="12.75" hidden="1" x14ac:dyDescent="0.2">
      <c r="A792" s="9" t="s">
        <v>822</v>
      </c>
      <c r="C792" t="e">
        <f>VLOOKUP(B792,[1]rt_remap_detail!$E$3:$F$4082,2,0)</f>
        <v>#N/A</v>
      </c>
      <c r="D792" t="s">
        <v>1696</v>
      </c>
      <c r="E792" t="s">
        <v>1697</v>
      </c>
    </row>
    <row r="793" spans="1:5" customFormat="1" ht="12.75" hidden="1" x14ac:dyDescent="0.2">
      <c r="A793" s="9" t="s">
        <v>823</v>
      </c>
      <c r="C793" t="e">
        <f>VLOOKUP(B793,[1]rt_remap_detail!$E$3:$F$4082,2,0)</f>
        <v>#N/A</v>
      </c>
      <c r="D793" t="s">
        <v>1696</v>
      </c>
      <c r="E793" t="s">
        <v>1697</v>
      </c>
    </row>
    <row r="794" spans="1:5" customFormat="1" ht="12.75" hidden="1" x14ac:dyDescent="0.2">
      <c r="A794" s="10" t="s">
        <v>825</v>
      </c>
      <c r="C794" t="e">
        <f>VLOOKUP(B794,[1]rt_remap_detail!$E$3:$F$4082,2,0)</f>
        <v>#N/A</v>
      </c>
      <c r="D794" t="s">
        <v>1696</v>
      </c>
      <c r="E794" t="s">
        <v>1697</v>
      </c>
    </row>
    <row r="795" spans="1:5" customFormat="1" ht="12.75" hidden="1" x14ac:dyDescent="0.2">
      <c r="A795" s="9" t="s">
        <v>826</v>
      </c>
      <c r="C795" t="e">
        <f>VLOOKUP(B795,[1]rt_remap_detail!$E$3:$F$4082,2,0)</f>
        <v>#N/A</v>
      </c>
      <c r="D795" t="s">
        <v>1696</v>
      </c>
      <c r="E795" t="s">
        <v>1697</v>
      </c>
    </row>
    <row r="796" spans="1:5" customFormat="1" ht="12.75" hidden="1" x14ac:dyDescent="0.2">
      <c r="A796" s="10" t="s">
        <v>827</v>
      </c>
      <c r="C796" t="e">
        <f>VLOOKUP(B796,[1]rt_remap_detail!$E$3:$F$4082,2,0)</f>
        <v>#N/A</v>
      </c>
      <c r="D796" t="s">
        <v>1696</v>
      </c>
      <c r="E796" t="s">
        <v>1697</v>
      </c>
    </row>
    <row r="797" spans="1:5" customFormat="1" ht="12.75" hidden="1" x14ac:dyDescent="0.2">
      <c r="A797" s="10" t="s">
        <v>831</v>
      </c>
      <c r="C797" t="e">
        <f>VLOOKUP(B797,[1]rt_remap_detail!$E$3:$F$4082,2,0)</f>
        <v>#N/A</v>
      </c>
      <c r="D797" t="s">
        <v>1696</v>
      </c>
      <c r="E797" t="s">
        <v>1697</v>
      </c>
    </row>
    <row r="798" spans="1:5" customFormat="1" ht="12.75" hidden="1" x14ac:dyDescent="0.2">
      <c r="A798" s="9" t="s">
        <v>832</v>
      </c>
      <c r="C798" t="e">
        <f>VLOOKUP(B798,[1]rt_remap_detail!$E$3:$F$4082,2,0)</f>
        <v>#N/A</v>
      </c>
      <c r="D798" t="s">
        <v>1696</v>
      </c>
      <c r="E798" t="s">
        <v>1697</v>
      </c>
    </row>
    <row r="799" spans="1:5" customFormat="1" ht="12.75" hidden="1" x14ac:dyDescent="0.2">
      <c r="A799" s="9" t="s">
        <v>836</v>
      </c>
      <c r="C799" t="e">
        <f>VLOOKUP(B799,[1]rt_remap_detail!$E$3:$F$4082,2,0)</f>
        <v>#N/A</v>
      </c>
      <c r="D799" t="s">
        <v>1696</v>
      </c>
      <c r="E799" t="s">
        <v>1697</v>
      </c>
    </row>
    <row r="800" spans="1:5" customFormat="1" ht="12.75" hidden="1" x14ac:dyDescent="0.2">
      <c r="A800" s="9" t="s">
        <v>838</v>
      </c>
      <c r="C800" t="e">
        <f>VLOOKUP(B800,[1]rt_remap_detail!$E$3:$F$4082,2,0)</f>
        <v>#N/A</v>
      </c>
      <c r="D800" t="s">
        <v>1696</v>
      </c>
      <c r="E800" t="s">
        <v>1697</v>
      </c>
    </row>
    <row r="801" spans="1:5" customFormat="1" ht="12.75" hidden="1" x14ac:dyDescent="0.2">
      <c r="A801" s="9" t="s">
        <v>841</v>
      </c>
      <c r="C801" t="e">
        <f>VLOOKUP(B801,[1]rt_remap_detail!$E$3:$F$4082,2,0)</f>
        <v>#N/A</v>
      </c>
      <c r="D801" t="s">
        <v>1696</v>
      </c>
      <c r="E801" t="s">
        <v>1697</v>
      </c>
    </row>
    <row r="802" spans="1:5" customFormat="1" ht="12.75" hidden="1" x14ac:dyDescent="0.2">
      <c r="A802" s="10" t="s">
        <v>842</v>
      </c>
      <c r="C802" t="e">
        <f>VLOOKUP(B802,[1]rt_remap_detail!$E$3:$F$4082,2,0)</f>
        <v>#N/A</v>
      </c>
      <c r="D802" t="s">
        <v>1696</v>
      </c>
      <c r="E802" t="s">
        <v>1697</v>
      </c>
    </row>
    <row r="803" spans="1:5" customFormat="1" ht="12.75" hidden="1" x14ac:dyDescent="0.2">
      <c r="A803" s="9" t="s">
        <v>843</v>
      </c>
      <c r="C803" t="e">
        <f>VLOOKUP(B803,[1]rt_remap_detail!$E$3:$F$4082,2,0)</f>
        <v>#N/A</v>
      </c>
      <c r="D803" t="s">
        <v>1696</v>
      </c>
      <c r="E803" t="s">
        <v>1697</v>
      </c>
    </row>
    <row r="804" spans="1:5" customFormat="1" ht="12.75" hidden="1" x14ac:dyDescent="0.2">
      <c r="A804" s="10" t="s">
        <v>844</v>
      </c>
      <c r="C804" t="e">
        <f>VLOOKUP(B804,[1]rt_remap_detail!$E$3:$F$4082,2,0)</f>
        <v>#N/A</v>
      </c>
      <c r="D804" t="s">
        <v>1696</v>
      </c>
      <c r="E804" t="s">
        <v>1697</v>
      </c>
    </row>
    <row r="805" spans="1:5" customFormat="1" ht="12.75" hidden="1" x14ac:dyDescent="0.2">
      <c r="A805" s="9" t="s">
        <v>845</v>
      </c>
      <c r="C805" t="e">
        <f>VLOOKUP(B805,[1]rt_remap_detail!$E$3:$F$4082,2,0)</f>
        <v>#N/A</v>
      </c>
      <c r="D805" t="s">
        <v>1696</v>
      </c>
      <c r="E805" t="s">
        <v>1697</v>
      </c>
    </row>
    <row r="806" spans="1:5" customFormat="1" ht="12.75" hidden="1" x14ac:dyDescent="0.2">
      <c r="A806" s="9" t="s">
        <v>846</v>
      </c>
      <c r="C806" t="e">
        <f>VLOOKUP(B806,[1]rt_remap_detail!$E$3:$F$4082,2,0)</f>
        <v>#N/A</v>
      </c>
      <c r="D806" t="s">
        <v>1696</v>
      </c>
      <c r="E806" t="s">
        <v>1697</v>
      </c>
    </row>
    <row r="807" spans="1:5" customFormat="1" ht="12.75" hidden="1" x14ac:dyDescent="0.2">
      <c r="A807" s="10" t="s">
        <v>847</v>
      </c>
      <c r="C807" t="e">
        <f>VLOOKUP(B807,[1]rt_remap_detail!$E$3:$F$4082,2,0)</f>
        <v>#N/A</v>
      </c>
      <c r="D807" t="s">
        <v>1696</v>
      </c>
      <c r="E807" t="s">
        <v>1697</v>
      </c>
    </row>
    <row r="808" spans="1:5" customFormat="1" ht="12.75" hidden="1" x14ac:dyDescent="0.2">
      <c r="A808" s="9" t="s">
        <v>848</v>
      </c>
      <c r="C808" t="e">
        <f>VLOOKUP(B808,[1]rt_remap_detail!$E$3:$F$4082,2,0)</f>
        <v>#N/A</v>
      </c>
      <c r="D808" t="s">
        <v>1696</v>
      </c>
      <c r="E808" t="s">
        <v>1697</v>
      </c>
    </row>
    <row r="809" spans="1:5" customFormat="1" ht="12.75" hidden="1" x14ac:dyDescent="0.2">
      <c r="A809" s="9" t="s">
        <v>849</v>
      </c>
      <c r="C809" t="e">
        <f>VLOOKUP(B809,[1]rt_remap_detail!$E$3:$F$4082,2,0)</f>
        <v>#N/A</v>
      </c>
      <c r="D809" t="s">
        <v>1696</v>
      </c>
      <c r="E809" t="s">
        <v>1697</v>
      </c>
    </row>
    <row r="810" spans="1:5" customFormat="1" ht="12.75" hidden="1" x14ac:dyDescent="0.2">
      <c r="A810" s="10" t="s">
        <v>850</v>
      </c>
      <c r="C810" t="e">
        <f>VLOOKUP(B810,[1]rt_remap_detail!$E$3:$F$4082,2,0)</f>
        <v>#N/A</v>
      </c>
      <c r="D810" t="s">
        <v>1696</v>
      </c>
      <c r="E810" t="s">
        <v>1697</v>
      </c>
    </row>
    <row r="811" spans="1:5" customFormat="1" ht="12.75" hidden="1" x14ac:dyDescent="0.2">
      <c r="A811" s="9" t="s">
        <v>851</v>
      </c>
      <c r="C811" t="e">
        <f>VLOOKUP(B811,[1]rt_remap_detail!$E$3:$F$4082,2,0)</f>
        <v>#N/A</v>
      </c>
      <c r="D811" t="s">
        <v>1696</v>
      </c>
      <c r="E811" t="s">
        <v>1697</v>
      </c>
    </row>
    <row r="812" spans="1:5" customFormat="1" ht="12.75" hidden="1" x14ac:dyDescent="0.2">
      <c r="A812" s="10" t="s">
        <v>852</v>
      </c>
      <c r="C812" t="e">
        <f>VLOOKUP(B812,[1]rt_remap_detail!$E$3:$F$4082,2,0)</f>
        <v>#N/A</v>
      </c>
      <c r="D812" t="s">
        <v>1696</v>
      </c>
      <c r="E812" t="s">
        <v>1697</v>
      </c>
    </row>
    <row r="813" spans="1:5" customFormat="1" ht="12.75" hidden="1" x14ac:dyDescent="0.2">
      <c r="A813" s="10" t="s">
        <v>853</v>
      </c>
      <c r="C813" t="e">
        <f>VLOOKUP(B813,[1]rt_remap_detail!$E$3:$F$4082,2,0)</f>
        <v>#N/A</v>
      </c>
      <c r="D813" t="s">
        <v>1696</v>
      </c>
      <c r="E813" t="s">
        <v>1697</v>
      </c>
    </row>
    <row r="814" spans="1:5" customFormat="1" ht="12.75" hidden="1" x14ac:dyDescent="0.2">
      <c r="A814" s="10" t="s">
        <v>854</v>
      </c>
      <c r="C814" t="e">
        <f>VLOOKUP(B814,[1]rt_remap_detail!$E$3:$F$4082,2,0)</f>
        <v>#N/A</v>
      </c>
      <c r="D814" t="s">
        <v>1696</v>
      </c>
      <c r="E814" t="s">
        <v>1697</v>
      </c>
    </row>
    <row r="815" spans="1:5" customFormat="1" ht="12.75" hidden="1" x14ac:dyDescent="0.2">
      <c r="A815" s="10" t="s">
        <v>855</v>
      </c>
      <c r="C815" t="e">
        <f>VLOOKUP(B815,[1]rt_remap_detail!$E$3:$F$4082,2,0)</f>
        <v>#N/A</v>
      </c>
      <c r="D815" t="s">
        <v>1696</v>
      </c>
      <c r="E815" t="s">
        <v>1697</v>
      </c>
    </row>
    <row r="816" spans="1:5" customFormat="1" ht="12.75" hidden="1" x14ac:dyDescent="0.2">
      <c r="A816" s="10" t="s">
        <v>856</v>
      </c>
      <c r="C816" t="e">
        <f>VLOOKUP(B816,[1]rt_remap_detail!$E$3:$F$4082,2,0)</f>
        <v>#N/A</v>
      </c>
      <c r="D816" t="s">
        <v>1696</v>
      </c>
      <c r="E816" t="s">
        <v>1697</v>
      </c>
    </row>
    <row r="817" spans="1:5" customFormat="1" ht="12.75" hidden="1" x14ac:dyDescent="0.2">
      <c r="A817" s="10" t="s">
        <v>857</v>
      </c>
      <c r="C817" t="e">
        <f>VLOOKUP(B817,[1]rt_remap_detail!$E$3:$F$4082,2,0)</f>
        <v>#N/A</v>
      </c>
      <c r="D817" t="s">
        <v>1696</v>
      </c>
      <c r="E817" t="s">
        <v>1697</v>
      </c>
    </row>
    <row r="818" spans="1:5" customFormat="1" ht="12.75" hidden="1" x14ac:dyDescent="0.2">
      <c r="A818" s="9" t="s">
        <v>858</v>
      </c>
      <c r="C818" t="e">
        <f>VLOOKUP(B818,[1]rt_remap_detail!$E$3:$F$4082,2,0)</f>
        <v>#N/A</v>
      </c>
      <c r="D818" t="s">
        <v>1696</v>
      </c>
      <c r="E818" t="s">
        <v>1697</v>
      </c>
    </row>
    <row r="819" spans="1:5" customFormat="1" ht="12.75" hidden="1" x14ac:dyDescent="0.2">
      <c r="A819" s="10" t="s">
        <v>859</v>
      </c>
      <c r="C819" t="e">
        <f>VLOOKUP(B819,[1]rt_remap_detail!$E$3:$F$4082,2,0)</f>
        <v>#N/A</v>
      </c>
      <c r="D819" t="s">
        <v>1696</v>
      </c>
      <c r="E819" t="s">
        <v>1697</v>
      </c>
    </row>
    <row r="820" spans="1:5" customFormat="1" ht="12.75" hidden="1" x14ac:dyDescent="0.2">
      <c r="A820" s="10" t="s">
        <v>860</v>
      </c>
      <c r="C820" t="e">
        <f>VLOOKUP(B820,[1]rt_remap_detail!$E$3:$F$4082,2,0)</f>
        <v>#N/A</v>
      </c>
      <c r="D820" t="s">
        <v>1696</v>
      </c>
      <c r="E820" t="s">
        <v>1697</v>
      </c>
    </row>
    <row r="821" spans="1:5" customFormat="1" ht="12.75" hidden="1" x14ac:dyDescent="0.2">
      <c r="A821" s="10" t="s">
        <v>861</v>
      </c>
      <c r="C821" t="e">
        <f>VLOOKUP(B821,[1]rt_remap_detail!$E$3:$F$4082,2,0)</f>
        <v>#N/A</v>
      </c>
      <c r="D821" t="s">
        <v>1696</v>
      </c>
      <c r="E821" t="s">
        <v>1697</v>
      </c>
    </row>
    <row r="822" spans="1:5" customFormat="1" ht="12.75" hidden="1" x14ac:dyDescent="0.2">
      <c r="A822" s="9" t="s">
        <v>862</v>
      </c>
      <c r="C822" t="e">
        <f>VLOOKUP(B822,[1]rt_remap_detail!$E$3:$F$4082,2,0)</f>
        <v>#N/A</v>
      </c>
      <c r="D822" t="s">
        <v>1696</v>
      </c>
      <c r="E822" t="s">
        <v>1697</v>
      </c>
    </row>
    <row r="823" spans="1:5" customFormat="1" ht="12.75" hidden="1" x14ac:dyDescent="0.2">
      <c r="A823" s="10" t="s">
        <v>863</v>
      </c>
      <c r="C823" t="e">
        <f>VLOOKUP(B823,[1]rt_remap_detail!$E$3:$F$4082,2,0)</f>
        <v>#N/A</v>
      </c>
      <c r="D823" t="s">
        <v>1696</v>
      </c>
      <c r="E823" t="s">
        <v>1697</v>
      </c>
    </row>
    <row r="824" spans="1:5" customFormat="1" ht="12.75" hidden="1" x14ac:dyDescent="0.2">
      <c r="A824" s="9" t="s">
        <v>864</v>
      </c>
      <c r="C824" t="e">
        <f>VLOOKUP(B824,[1]rt_remap_detail!$E$3:$F$4082,2,0)</f>
        <v>#N/A</v>
      </c>
      <c r="D824" t="s">
        <v>1696</v>
      </c>
      <c r="E824" t="s">
        <v>1697</v>
      </c>
    </row>
    <row r="825" spans="1:5" customFormat="1" ht="12.75" hidden="1" x14ac:dyDescent="0.2">
      <c r="A825" s="9" t="s">
        <v>865</v>
      </c>
      <c r="C825" t="e">
        <f>VLOOKUP(B825,[1]rt_remap_detail!$E$3:$F$4082,2,0)</f>
        <v>#N/A</v>
      </c>
      <c r="D825" t="s">
        <v>1696</v>
      </c>
      <c r="E825" t="s">
        <v>1697</v>
      </c>
    </row>
    <row r="826" spans="1:5" customFormat="1" ht="12.75" hidden="1" x14ac:dyDescent="0.2">
      <c r="A826" s="10" t="s">
        <v>866</v>
      </c>
      <c r="C826" t="e">
        <f>VLOOKUP(B826,[1]rt_remap_detail!$E$3:$F$4082,2,0)</f>
        <v>#N/A</v>
      </c>
      <c r="D826" t="s">
        <v>1696</v>
      </c>
      <c r="E826" t="s">
        <v>1697</v>
      </c>
    </row>
    <row r="827" spans="1:5" customFormat="1" ht="12.75" hidden="1" x14ac:dyDescent="0.2">
      <c r="A827" s="10" t="s">
        <v>867</v>
      </c>
      <c r="C827" t="e">
        <f>VLOOKUP(B827,[1]rt_remap_detail!$E$3:$F$4082,2,0)</f>
        <v>#N/A</v>
      </c>
      <c r="D827" t="s">
        <v>1696</v>
      </c>
      <c r="E827" t="s">
        <v>1697</v>
      </c>
    </row>
    <row r="828" spans="1:5" customFormat="1" ht="12.75" hidden="1" x14ac:dyDescent="0.2">
      <c r="A828" s="10" t="s">
        <v>868</v>
      </c>
      <c r="C828" t="e">
        <f>VLOOKUP(B828,[1]rt_remap_detail!$E$3:$F$4082,2,0)</f>
        <v>#N/A</v>
      </c>
      <c r="D828" t="s">
        <v>1696</v>
      </c>
      <c r="E828" t="s">
        <v>1697</v>
      </c>
    </row>
    <row r="829" spans="1:5" customFormat="1" ht="12.75" hidden="1" x14ac:dyDescent="0.2">
      <c r="A829" s="10" t="s">
        <v>869</v>
      </c>
      <c r="C829" t="e">
        <f>VLOOKUP(B829,[1]rt_remap_detail!$E$3:$F$4082,2,0)</f>
        <v>#N/A</v>
      </c>
      <c r="D829" t="s">
        <v>1696</v>
      </c>
      <c r="E829" t="s">
        <v>1697</v>
      </c>
    </row>
    <row r="830" spans="1:5" customFormat="1" ht="12.75" hidden="1" x14ac:dyDescent="0.2">
      <c r="A830" s="9" t="s">
        <v>870</v>
      </c>
      <c r="C830" t="e">
        <f>VLOOKUP(B830,[1]rt_remap_detail!$E$3:$F$4082,2,0)</f>
        <v>#N/A</v>
      </c>
      <c r="D830" t="s">
        <v>1696</v>
      </c>
      <c r="E830" t="s">
        <v>1697</v>
      </c>
    </row>
    <row r="831" spans="1:5" customFormat="1" ht="12.75" hidden="1" x14ac:dyDescent="0.2">
      <c r="A831" s="10" t="s">
        <v>873</v>
      </c>
      <c r="C831" t="e">
        <f>VLOOKUP(B831,[1]rt_remap_detail!$E$3:$F$4082,2,0)</f>
        <v>#N/A</v>
      </c>
      <c r="D831" t="s">
        <v>1696</v>
      </c>
      <c r="E831" t="s">
        <v>1697</v>
      </c>
    </row>
    <row r="832" spans="1:5" customFormat="1" ht="12.75" hidden="1" x14ac:dyDescent="0.2">
      <c r="A832" s="10" t="s">
        <v>874</v>
      </c>
      <c r="C832" t="e">
        <f>VLOOKUP(B832,[1]rt_remap_detail!$E$3:$F$4082,2,0)</f>
        <v>#N/A</v>
      </c>
      <c r="D832" t="s">
        <v>1696</v>
      </c>
      <c r="E832" t="s">
        <v>1697</v>
      </c>
    </row>
    <row r="833" spans="1:5" customFormat="1" ht="12.75" hidden="1" x14ac:dyDescent="0.2">
      <c r="A833" s="10" t="s">
        <v>877</v>
      </c>
      <c r="C833" t="e">
        <f>VLOOKUP(B833,[1]rt_remap_detail!$E$3:$F$4082,2,0)</f>
        <v>#N/A</v>
      </c>
      <c r="D833" t="s">
        <v>1696</v>
      </c>
      <c r="E833" t="s">
        <v>1697</v>
      </c>
    </row>
    <row r="834" spans="1:5" customFormat="1" ht="12.75" hidden="1" x14ac:dyDescent="0.2">
      <c r="A834" s="10" t="s">
        <v>879</v>
      </c>
      <c r="C834" t="e">
        <f>VLOOKUP(B834,[1]rt_remap_detail!$E$3:$F$4082,2,0)</f>
        <v>#N/A</v>
      </c>
      <c r="D834" t="s">
        <v>1696</v>
      </c>
      <c r="E834" t="s">
        <v>1697</v>
      </c>
    </row>
    <row r="835" spans="1:5" customFormat="1" ht="12.75" hidden="1" x14ac:dyDescent="0.2">
      <c r="A835" s="10" t="s">
        <v>880</v>
      </c>
      <c r="C835" t="e">
        <f>VLOOKUP(B835,[1]rt_remap_detail!$E$3:$F$4082,2,0)</f>
        <v>#N/A</v>
      </c>
      <c r="D835" t="s">
        <v>1696</v>
      </c>
      <c r="E835" t="s">
        <v>1697</v>
      </c>
    </row>
    <row r="836" spans="1:5" customFormat="1" ht="12.75" hidden="1" x14ac:dyDescent="0.2">
      <c r="A836" s="10" t="s">
        <v>882</v>
      </c>
      <c r="C836" t="e">
        <f>VLOOKUP(B836,[1]rt_remap_detail!$E$3:$F$4082,2,0)</f>
        <v>#N/A</v>
      </c>
      <c r="D836" t="s">
        <v>1696</v>
      </c>
      <c r="E836" t="s">
        <v>1697</v>
      </c>
    </row>
    <row r="837" spans="1:5" customFormat="1" ht="12.75" hidden="1" x14ac:dyDescent="0.2">
      <c r="A837" s="9" t="s">
        <v>885</v>
      </c>
      <c r="C837" t="e">
        <f>VLOOKUP(B837,[1]rt_remap_detail!$E$3:$F$4082,2,0)</f>
        <v>#N/A</v>
      </c>
      <c r="D837" t="s">
        <v>1696</v>
      </c>
      <c r="E837" t="s">
        <v>1697</v>
      </c>
    </row>
    <row r="838" spans="1:5" customFormat="1" ht="12.75" hidden="1" x14ac:dyDescent="0.2">
      <c r="A838" s="9" t="s">
        <v>888</v>
      </c>
      <c r="C838" t="e">
        <f>VLOOKUP(B838,[1]rt_remap_detail!$E$3:$F$4082,2,0)</f>
        <v>#N/A</v>
      </c>
      <c r="D838" t="s">
        <v>1696</v>
      </c>
      <c r="E838" t="s">
        <v>1697</v>
      </c>
    </row>
    <row r="839" spans="1:5" customFormat="1" ht="12.75" hidden="1" x14ac:dyDescent="0.2">
      <c r="A839" s="10" t="s">
        <v>889</v>
      </c>
      <c r="C839" t="e">
        <f>VLOOKUP(B839,[1]rt_remap_detail!$E$3:$F$4082,2,0)</f>
        <v>#N/A</v>
      </c>
      <c r="D839" t="s">
        <v>1696</v>
      </c>
      <c r="E839" t="s">
        <v>1697</v>
      </c>
    </row>
    <row r="840" spans="1:5" customFormat="1" ht="12.75" hidden="1" x14ac:dyDescent="0.2">
      <c r="A840" s="9" t="s">
        <v>890</v>
      </c>
      <c r="C840" t="e">
        <f>VLOOKUP(B840,[1]rt_remap_detail!$E$3:$F$4082,2,0)</f>
        <v>#N/A</v>
      </c>
      <c r="D840" t="s">
        <v>1696</v>
      </c>
      <c r="E840" t="s">
        <v>1697</v>
      </c>
    </row>
    <row r="841" spans="1:5" customFormat="1" ht="12.75" hidden="1" x14ac:dyDescent="0.2">
      <c r="A841" s="10" t="s">
        <v>891</v>
      </c>
      <c r="C841" t="e">
        <f>VLOOKUP(B841,[1]rt_remap_detail!$E$3:$F$4082,2,0)</f>
        <v>#N/A</v>
      </c>
      <c r="D841" t="s">
        <v>1696</v>
      </c>
      <c r="E841" t="s">
        <v>1697</v>
      </c>
    </row>
    <row r="842" spans="1:5" customFormat="1" ht="12.75" hidden="1" x14ac:dyDescent="0.2">
      <c r="A842" s="10" t="s">
        <v>892</v>
      </c>
      <c r="C842" t="e">
        <f>VLOOKUP(B842,[1]rt_remap_detail!$E$3:$F$4082,2,0)</f>
        <v>#N/A</v>
      </c>
      <c r="D842" t="s">
        <v>1696</v>
      </c>
      <c r="E842" t="s">
        <v>1697</v>
      </c>
    </row>
    <row r="843" spans="1:5" customFormat="1" ht="12.75" hidden="1" x14ac:dyDescent="0.2">
      <c r="A843" s="9" t="s">
        <v>893</v>
      </c>
      <c r="C843" t="e">
        <f>VLOOKUP(B843,[1]rt_remap_detail!$E$3:$F$4082,2,0)</f>
        <v>#N/A</v>
      </c>
      <c r="D843" t="s">
        <v>1696</v>
      </c>
      <c r="E843" t="s">
        <v>1697</v>
      </c>
    </row>
    <row r="844" spans="1:5" customFormat="1" ht="12.75" hidden="1" x14ac:dyDescent="0.2">
      <c r="A844" s="10" t="s">
        <v>895</v>
      </c>
      <c r="C844" t="e">
        <f>VLOOKUP(B844,[1]rt_remap_detail!$E$3:$F$4082,2,0)</f>
        <v>#N/A</v>
      </c>
      <c r="D844" t="s">
        <v>1696</v>
      </c>
      <c r="E844" t="s">
        <v>1697</v>
      </c>
    </row>
    <row r="845" spans="1:5" customFormat="1" ht="12.75" hidden="1" x14ac:dyDescent="0.2">
      <c r="A845" s="9" t="s">
        <v>897</v>
      </c>
      <c r="C845" t="e">
        <f>VLOOKUP(B845,[1]rt_remap_detail!$E$3:$F$4082,2,0)</f>
        <v>#N/A</v>
      </c>
      <c r="D845" t="s">
        <v>1696</v>
      </c>
      <c r="E845" t="s">
        <v>1697</v>
      </c>
    </row>
    <row r="846" spans="1:5" customFormat="1" ht="12.75" hidden="1" x14ac:dyDescent="0.2">
      <c r="A846" s="9" t="s">
        <v>898</v>
      </c>
      <c r="C846" t="e">
        <f>VLOOKUP(B846,[1]rt_remap_detail!$E$3:$F$4082,2,0)</f>
        <v>#N/A</v>
      </c>
      <c r="D846" t="s">
        <v>1696</v>
      </c>
      <c r="E846" t="s">
        <v>1697</v>
      </c>
    </row>
    <row r="847" spans="1:5" customFormat="1" ht="12.75" hidden="1" x14ac:dyDescent="0.2">
      <c r="A847" s="9" t="s">
        <v>903</v>
      </c>
      <c r="C847" t="e">
        <f>VLOOKUP(B847,[1]rt_remap_detail!$E$3:$F$4082,2,0)</f>
        <v>#N/A</v>
      </c>
      <c r="D847" t="s">
        <v>1696</v>
      </c>
      <c r="E847" t="s">
        <v>1697</v>
      </c>
    </row>
    <row r="848" spans="1:5" customFormat="1" ht="12.75" hidden="1" x14ac:dyDescent="0.2">
      <c r="A848" s="10" t="s">
        <v>908</v>
      </c>
      <c r="C848" t="e">
        <f>VLOOKUP(B848,[1]rt_remap_detail!$E$3:$F$4082,2,0)</f>
        <v>#N/A</v>
      </c>
      <c r="D848" t="s">
        <v>1696</v>
      </c>
      <c r="E848" t="s">
        <v>1697</v>
      </c>
    </row>
    <row r="849" spans="1:5" customFormat="1" ht="12.75" hidden="1" x14ac:dyDescent="0.2">
      <c r="A849" s="9" t="s">
        <v>913</v>
      </c>
      <c r="C849" t="e">
        <f>VLOOKUP(B849,[1]rt_remap_detail!$E$3:$F$4082,2,0)</f>
        <v>#N/A</v>
      </c>
      <c r="D849" t="s">
        <v>1696</v>
      </c>
      <c r="E849" t="s">
        <v>1697</v>
      </c>
    </row>
    <row r="850" spans="1:5" customFormat="1" ht="12.75" hidden="1" x14ac:dyDescent="0.2">
      <c r="A850" s="10" t="s">
        <v>914</v>
      </c>
      <c r="C850" t="e">
        <f>VLOOKUP(B850,[1]rt_remap_detail!$E$3:$F$4082,2,0)</f>
        <v>#N/A</v>
      </c>
      <c r="D850" t="s">
        <v>1696</v>
      </c>
      <c r="E850" t="s">
        <v>1697</v>
      </c>
    </row>
    <row r="851" spans="1:5" customFormat="1" ht="12.75" hidden="1" x14ac:dyDescent="0.2">
      <c r="A851" s="9" t="s">
        <v>917</v>
      </c>
      <c r="C851" t="e">
        <f>VLOOKUP(B851,[1]rt_remap_detail!$E$3:$F$4082,2,0)</f>
        <v>#N/A</v>
      </c>
      <c r="D851" t="s">
        <v>1696</v>
      </c>
      <c r="E851" t="s">
        <v>1697</v>
      </c>
    </row>
    <row r="852" spans="1:5" customFormat="1" ht="12.75" hidden="1" x14ac:dyDescent="0.2">
      <c r="A852" s="10" t="s">
        <v>925</v>
      </c>
      <c r="C852" t="e">
        <f>VLOOKUP(B852,[1]rt_remap_detail!$E$3:$F$4082,2,0)</f>
        <v>#N/A</v>
      </c>
      <c r="D852" t="s">
        <v>1696</v>
      </c>
      <c r="E852" t="s">
        <v>1697</v>
      </c>
    </row>
    <row r="853" spans="1:5" customFormat="1" ht="12.75" hidden="1" x14ac:dyDescent="0.2">
      <c r="A853" s="9" t="s">
        <v>929</v>
      </c>
      <c r="C853" t="e">
        <f>VLOOKUP(B853,[1]rt_remap_detail!$E$3:$F$4082,2,0)</f>
        <v>#N/A</v>
      </c>
      <c r="D853" t="s">
        <v>1696</v>
      </c>
      <c r="E853" t="s">
        <v>1697</v>
      </c>
    </row>
    <row r="854" spans="1:5" customFormat="1" ht="12.75" hidden="1" x14ac:dyDescent="0.2">
      <c r="A854" s="9" t="s">
        <v>930</v>
      </c>
      <c r="C854" t="e">
        <f>VLOOKUP(B854,[1]rt_remap_detail!$E$3:$F$4082,2,0)</f>
        <v>#N/A</v>
      </c>
      <c r="D854" t="s">
        <v>1696</v>
      </c>
      <c r="E854" t="s">
        <v>1697</v>
      </c>
    </row>
    <row r="855" spans="1:5" customFormat="1" ht="12.75" hidden="1" x14ac:dyDescent="0.2">
      <c r="A855" s="9" t="s">
        <v>932</v>
      </c>
      <c r="C855" t="e">
        <f>VLOOKUP(B855,[1]rt_remap_detail!$E$3:$F$4082,2,0)</f>
        <v>#N/A</v>
      </c>
      <c r="D855" t="s">
        <v>1696</v>
      </c>
      <c r="E855" t="s">
        <v>1697</v>
      </c>
    </row>
    <row r="856" spans="1:5" customFormat="1" ht="12.75" hidden="1" x14ac:dyDescent="0.2">
      <c r="A856" s="10" t="s">
        <v>933</v>
      </c>
      <c r="C856" t="e">
        <f>VLOOKUP(B856,[1]rt_remap_detail!$E$3:$F$4082,2,0)</f>
        <v>#N/A</v>
      </c>
      <c r="D856" t="s">
        <v>1696</v>
      </c>
      <c r="E856" t="s">
        <v>1697</v>
      </c>
    </row>
    <row r="857" spans="1:5" customFormat="1" ht="12.75" hidden="1" x14ac:dyDescent="0.2">
      <c r="A857" s="9" t="s">
        <v>935</v>
      </c>
      <c r="C857" t="e">
        <f>VLOOKUP(B857,[1]rt_remap_detail!$E$3:$F$4082,2,0)</f>
        <v>#N/A</v>
      </c>
      <c r="D857" t="s">
        <v>1696</v>
      </c>
      <c r="E857" t="s">
        <v>1697</v>
      </c>
    </row>
    <row r="858" spans="1:5" customFormat="1" ht="12.75" hidden="1" x14ac:dyDescent="0.2">
      <c r="A858" s="10" t="s">
        <v>937</v>
      </c>
      <c r="C858" t="e">
        <f>VLOOKUP(B858,[1]rt_remap_detail!$E$3:$F$4082,2,0)</f>
        <v>#N/A</v>
      </c>
      <c r="D858" t="s">
        <v>1696</v>
      </c>
      <c r="E858" t="s">
        <v>1697</v>
      </c>
    </row>
    <row r="859" spans="1:5" customFormat="1" ht="12.75" hidden="1" x14ac:dyDescent="0.2">
      <c r="A859" s="9" t="s">
        <v>939</v>
      </c>
      <c r="C859" t="e">
        <f>VLOOKUP(B859,[1]rt_remap_detail!$E$3:$F$4082,2,0)</f>
        <v>#N/A</v>
      </c>
      <c r="D859" t="s">
        <v>1696</v>
      </c>
      <c r="E859" t="s">
        <v>1697</v>
      </c>
    </row>
    <row r="860" spans="1:5" customFormat="1" ht="12.75" hidden="1" x14ac:dyDescent="0.2">
      <c r="A860" s="9" t="s">
        <v>940</v>
      </c>
      <c r="C860" t="e">
        <f>VLOOKUP(B860,[1]rt_remap_detail!$E$3:$F$4082,2,0)</f>
        <v>#N/A</v>
      </c>
      <c r="D860" t="s">
        <v>1696</v>
      </c>
      <c r="E860" t="s">
        <v>1697</v>
      </c>
    </row>
    <row r="861" spans="1:5" customFormat="1" ht="12.75" hidden="1" x14ac:dyDescent="0.2">
      <c r="A861" s="9" t="s">
        <v>941</v>
      </c>
      <c r="C861" t="e">
        <f>VLOOKUP(B861,[1]rt_remap_detail!$E$3:$F$4082,2,0)</f>
        <v>#N/A</v>
      </c>
      <c r="D861" t="s">
        <v>1696</v>
      </c>
      <c r="E861" t="s">
        <v>1697</v>
      </c>
    </row>
    <row r="862" spans="1:5" customFormat="1" ht="12.75" hidden="1" x14ac:dyDescent="0.2">
      <c r="A862" s="10" t="s">
        <v>943</v>
      </c>
      <c r="C862" t="e">
        <f>VLOOKUP(B862,[1]rt_remap_detail!$E$3:$F$4082,2,0)</f>
        <v>#N/A</v>
      </c>
      <c r="D862" t="s">
        <v>1696</v>
      </c>
      <c r="E862" t="s">
        <v>1697</v>
      </c>
    </row>
    <row r="863" spans="1:5" customFormat="1" ht="12.75" hidden="1" x14ac:dyDescent="0.2">
      <c r="A863" s="9" t="s">
        <v>944</v>
      </c>
      <c r="C863" t="e">
        <f>VLOOKUP(B863,[1]rt_remap_detail!$E$3:$F$4082,2,0)</f>
        <v>#N/A</v>
      </c>
      <c r="D863" t="s">
        <v>1696</v>
      </c>
      <c r="E863" t="s">
        <v>1697</v>
      </c>
    </row>
    <row r="864" spans="1:5" customFormat="1" ht="12.75" hidden="1" x14ac:dyDescent="0.2">
      <c r="A864" s="10" t="s">
        <v>945</v>
      </c>
      <c r="C864" t="e">
        <f>VLOOKUP(B864,[1]rt_remap_detail!$E$3:$F$4082,2,0)</f>
        <v>#N/A</v>
      </c>
      <c r="D864" t="s">
        <v>1696</v>
      </c>
      <c r="E864" t="s">
        <v>1697</v>
      </c>
    </row>
    <row r="865" spans="1:5" customFormat="1" ht="12.75" hidden="1" x14ac:dyDescent="0.2">
      <c r="A865" s="9" t="s">
        <v>947</v>
      </c>
      <c r="C865" t="e">
        <f>VLOOKUP(B865,[1]rt_remap_detail!$E$3:$F$4082,2,0)</f>
        <v>#N/A</v>
      </c>
      <c r="D865" t="s">
        <v>1696</v>
      </c>
      <c r="E865" t="s">
        <v>1697</v>
      </c>
    </row>
    <row r="866" spans="1:5" customFormat="1" ht="12.75" hidden="1" x14ac:dyDescent="0.2">
      <c r="A866" s="10" t="s">
        <v>948</v>
      </c>
      <c r="C866" t="e">
        <f>VLOOKUP(B866,[1]rt_remap_detail!$E$3:$F$4082,2,0)</f>
        <v>#N/A</v>
      </c>
      <c r="D866" t="s">
        <v>1696</v>
      </c>
      <c r="E866" t="s">
        <v>1697</v>
      </c>
    </row>
    <row r="867" spans="1:5" customFormat="1" ht="12.75" hidden="1" x14ac:dyDescent="0.2">
      <c r="A867" s="9" t="s">
        <v>949</v>
      </c>
      <c r="C867" t="e">
        <f>VLOOKUP(B867,[1]rt_remap_detail!$E$3:$F$4082,2,0)</f>
        <v>#N/A</v>
      </c>
      <c r="D867" t="s">
        <v>1696</v>
      </c>
      <c r="E867" t="s">
        <v>1697</v>
      </c>
    </row>
    <row r="868" spans="1:5" customFormat="1" ht="12.75" hidden="1" x14ac:dyDescent="0.2">
      <c r="A868" s="9" t="s">
        <v>950</v>
      </c>
      <c r="C868" t="e">
        <f>VLOOKUP(B868,[1]rt_remap_detail!$E$3:$F$4082,2,0)</f>
        <v>#N/A</v>
      </c>
      <c r="D868" t="s">
        <v>1696</v>
      </c>
      <c r="E868" t="s">
        <v>1697</v>
      </c>
    </row>
    <row r="869" spans="1:5" customFormat="1" ht="12.75" hidden="1" x14ac:dyDescent="0.2">
      <c r="A869" s="9" t="s">
        <v>951</v>
      </c>
      <c r="C869" t="e">
        <f>VLOOKUP(B869,[1]rt_remap_detail!$E$3:$F$4082,2,0)</f>
        <v>#N/A</v>
      </c>
      <c r="D869" t="s">
        <v>1696</v>
      </c>
      <c r="E869" t="s">
        <v>1697</v>
      </c>
    </row>
    <row r="870" spans="1:5" customFormat="1" ht="12.75" hidden="1" x14ac:dyDescent="0.2">
      <c r="A870" s="9" t="s">
        <v>952</v>
      </c>
      <c r="C870" t="e">
        <f>VLOOKUP(B870,[1]rt_remap_detail!$E$3:$F$4082,2,0)</f>
        <v>#N/A</v>
      </c>
      <c r="D870" t="s">
        <v>1696</v>
      </c>
      <c r="E870" t="s">
        <v>1697</v>
      </c>
    </row>
    <row r="871" spans="1:5" customFormat="1" ht="12.75" hidden="1" x14ac:dyDescent="0.2">
      <c r="A871" s="10" t="s">
        <v>953</v>
      </c>
      <c r="C871" t="e">
        <f>VLOOKUP(B871,[1]rt_remap_detail!$E$3:$F$4082,2,0)</f>
        <v>#N/A</v>
      </c>
      <c r="D871" t="s">
        <v>1696</v>
      </c>
      <c r="E871" t="s">
        <v>1697</v>
      </c>
    </row>
    <row r="872" spans="1:5" customFormat="1" ht="12.75" hidden="1" x14ac:dyDescent="0.2">
      <c r="A872" s="9" t="s">
        <v>954</v>
      </c>
      <c r="C872" t="e">
        <f>VLOOKUP(B872,[1]rt_remap_detail!$E$3:$F$4082,2,0)</f>
        <v>#N/A</v>
      </c>
      <c r="D872" t="s">
        <v>1696</v>
      </c>
      <c r="E872" t="s">
        <v>1697</v>
      </c>
    </row>
    <row r="873" spans="1:5" customFormat="1" ht="12.75" hidden="1" x14ac:dyDescent="0.2">
      <c r="A873" s="10" t="s">
        <v>958</v>
      </c>
      <c r="C873" t="e">
        <f>VLOOKUP(B873,[1]rt_remap_detail!$E$3:$F$4082,2,0)</f>
        <v>#N/A</v>
      </c>
      <c r="D873" t="s">
        <v>1696</v>
      </c>
      <c r="E873" t="s">
        <v>1697</v>
      </c>
    </row>
    <row r="874" spans="1:5" customFormat="1" ht="12.75" hidden="1" x14ac:dyDescent="0.2">
      <c r="A874" s="9" t="s">
        <v>961</v>
      </c>
      <c r="C874" t="e">
        <f>VLOOKUP(B874,[1]rt_remap_detail!$E$3:$F$4082,2,0)</f>
        <v>#N/A</v>
      </c>
      <c r="D874" t="s">
        <v>1696</v>
      </c>
      <c r="E874" t="s">
        <v>1697</v>
      </c>
    </row>
    <row r="875" spans="1:5" customFormat="1" ht="12.75" hidden="1" x14ac:dyDescent="0.2">
      <c r="A875" s="10" t="s">
        <v>962</v>
      </c>
      <c r="C875" t="e">
        <f>VLOOKUP(B875,[1]rt_remap_detail!$E$3:$F$4082,2,0)</f>
        <v>#N/A</v>
      </c>
      <c r="D875" t="s">
        <v>1696</v>
      </c>
      <c r="E875" t="s">
        <v>1697</v>
      </c>
    </row>
    <row r="876" spans="1:5" customFormat="1" ht="12.75" hidden="1" x14ac:dyDescent="0.2">
      <c r="A876" s="10" t="s">
        <v>964</v>
      </c>
      <c r="C876" t="e">
        <f>VLOOKUP(B876,[1]rt_remap_detail!$E$3:$F$4082,2,0)</f>
        <v>#N/A</v>
      </c>
      <c r="D876" t="s">
        <v>1696</v>
      </c>
      <c r="E876" t="s">
        <v>1697</v>
      </c>
    </row>
    <row r="877" spans="1:5" customFormat="1" ht="12.75" hidden="1" x14ac:dyDescent="0.2">
      <c r="A877" s="10" t="s">
        <v>969</v>
      </c>
      <c r="C877" t="e">
        <f>VLOOKUP(B877,[1]rt_remap_detail!$E$3:$F$4082,2,0)</f>
        <v>#N/A</v>
      </c>
      <c r="D877" t="s">
        <v>1696</v>
      </c>
      <c r="E877" t="s">
        <v>1697</v>
      </c>
    </row>
    <row r="878" spans="1:5" customFormat="1" ht="12.75" hidden="1" x14ac:dyDescent="0.2">
      <c r="A878" s="10" t="s">
        <v>970</v>
      </c>
      <c r="C878" t="e">
        <f>VLOOKUP(B878,[1]rt_remap_detail!$E$3:$F$4082,2,0)</f>
        <v>#N/A</v>
      </c>
      <c r="D878" t="s">
        <v>1696</v>
      </c>
      <c r="E878" t="s">
        <v>1697</v>
      </c>
    </row>
    <row r="879" spans="1:5" customFormat="1" ht="12.75" hidden="1" x14ac:dyDescent="0.2">
      <c r="A879" s="10" t="s">
        <v>971</v>
      </c>
      <c r="C879" t="e">
        <f>VLOOKUP(B879,[1]rt_remap_detail!$E$3:$F$4082,2,0)</f>
        <v>#N/A</v>
      </c>
      <c r="D879" t="s">
        <v>1696</v>
      </c>
      <c r="E879" t="s">
        <v>1697</v>
      </c>
    </row>
    <row r="880" spans="1:5" customFormat="1" ht="12.75" hidden="1" x14ac:dyDescent="0.2">
      <c r="A880" s="9" t="s">
        <v>974</v>
      </c>
      <c r="C880" t="e">
        <f>VLOOKUP(B880,[1]rt_remap_detail!$E$3:$F$4082,2,0)</f>
        <v>#N/A</v>
      </c>
      <c r="D880" t="s">
        <v>1696</v>
      </c>
      <c r="E880" t="s">
        <v>1697</v>
      </c>
    </row>
    <row r="881" spans="1:5" customFormat="1" ht="12.75" hidden="1" x14ac:dyDescent="0.2">
      <c r="A881" s="9" t="s">
        <v>976</v>
      </c>
      <c r="C881" t="e">
        <f>VLOOKUP(B881,[1]rt_remap_detail!$E$3:$F$4082,2,0)</f>
        <v>#N/A</v>
      </c>
      <c r="D881" t="s">
        <v>1696</v>
      </c>
      <c r="E881" t="s">
        <v>1697</v>
      </c>
    </row>
    <row r="882" spans="1:5" customFormat="1" ht="12.75" hidden="1" x14ac:dyDescent="0.2">
      <c r="A882" s="9" t="s">
        <v>977</v>
      </c>
      <c r="C882" t="e">
        <f>VLOOKUP(B882,[1]rt_remap_detail!$E$3:$F$4082,2,0)</f>
        <v>#N/A</v>
      </c>
      <c r="D882" t="s">
        <v>1696</v>
      </c>
      <c r="E882" t="s">
        <v>1697</v>
      </c>
    </row>
    <row r="883" spans="1:5" customFormat="1" ht="12.75" hidden="1" x14ac:dyDescent="0.2">
      <c r="A883" s="9" t="s">
        <v>981</v>
      </c>
      <c r="C883" t="e">
        <f>VLOOKUP(B883,[1]rt_remap_detail!$E$3:$F$4082,2,0)</f>
        <v>#N/A</v>
      </c>
      <c r="D883" t="s">
        <v>1696</v>
      </c>
      <c r="E883" t="s">
        <v>1697</v>
      </c>
    </row>
    <row r="884" spans="1:5" customFormat="1" ht="12.75" hidden="1" x14ac:dyDescent="0.2">
      <c r="A884" s="10" t="s">
        <v>984</v>
      </c>
      <c r="C884" t="e">
        <f>VLOOKUP(B884,[1]rt_remap_detail!$E$3:$F$4082,2,0)</f>
        <v>#N/A</v>
      </c>
      <c r="D884" t="s">
        <v>1696</v>
      </c>
      <c r="E884" t="s">
        <v>1697</v>
      </c>
    </row>
    <row r="885" spans="1:5" customFormat="1" ht="12.75" hidden="1" x14ac:dyDescent="0.2">
      <c r="A885" s="10" t="s">
        <v>985</v>
      </c>
      <c r="C885" t="e">
        <f>VLOOKUP(B885,[1]rt_remap_detail!$E$3:$F$4082,2,0)</f>
        <v>#N/A</v>
      </c>
      <c r="D885" t="s">
        <v>1696</v>
      </c>
      <c r="E885" t="s">
        <v>1697</v>
      </c>
    </row>
    <row r="886" spans="1:5" customFormat="1" ht="12.75" hidden="1" x14ac:dyDescent="0.2">
      <c r="A886" s="10" t="s">
        <v>987</v>
      </c>
      <c r="C886" t="e">
        <f>VLOOKUP(B886,[1]rt_remap_detail!$E$3:$F$4082,2,0)</f>
        <v>#N/A</v>
      </c>
      <c r="D886" t="s">
        <v>1696</v>
      </c>
      <c r="E886" t="s">
        <v>1697</v>
      </c>
    </row>
    <row r="887" spans="1:5" customFormat="1" ht="12.75" hidden="1" x14ac:dyDescent="0.2">
      <c r="A887" s="10" t="s">
        <v>988</v>
      </c>
      <c r="C887" t="e">
        <f>VLOOKUP(B887,[1]rt_remap_detail!$E$3:$F$4082,2,0)</f>
        <v>#N/A</v>
      </c>
      <c r="D887" t="s">
        <v>1696</v>
      </c>
      <c r="E887" t="s">
        <v>1697</v>
      </c>
    </row>
    <row r="888" spans="1:5" customFormat="1" ht="12.75" hidden="1" x14ac:dyDescent="0.2">
      <c r="A888" s="10" t="s">
        <v>990</v>
      </c>
      <c r="C888" t="e">
        <f>VLOOKUP(B888,[1]rt_remap_detail!$E$3:$F$4082,2,0)</f>
        <v>#N/A</v>
      </c>
      <c r="D888" t="s">
        <v>1696</v>
      </c>
      <c r="E888" t="s">
        <v>1697</v>
      </c>
    </row>
    <row r="889" spans="1:5" customFormat="1" ht="12.75" hidden="1" x14ac:dyDescent="0.2">
      <c r="A889" s="10" t="s">
        <v>991</v>
      </c>
      <c r="C889" t="e">
        <f>VLOOKUP(B889,[1]rt_remap_detail!$E$3:$F$4082,2,0)</f>
        <v>#N/A</v>
      </c>
      <c r="D889" t="s">
        <v>1696</v>
      </c>
      <c r="E889" t="s">
        <v>1697</v>
      </c>
    </row>
    <row r="890" spans="1:5" customFormat="1" ht="12.75" hidden="1" x14ac:dyDescent="0.2">
      <c r="A890" s="9" t="s">
        <v>992</v>
      </c>
      <c r="C890" t="e">
        <f>VLOOKUP(B890,[1]rt_remap_detail!$E$3:$F$4082,2,0)</f>
        <v>#N/A</v>
      </c>
      <c r="D890" t="s">
        <v>1696</v>
      </c>
      <c r="E890" t="s">
        <v>1697</v>
      </c>
    </row>
    <row r="891" spans="1:5" customFormat="1" ht="12.75" hidden="1" x14ac:dyDescent="0.2">
      <c r="A891" s="9" t="s">
        <v>993</v>
      </c>
      <c r="C891" t="e">
        <f>VLOOKUP(B891,[1]rt_remap_detail!$E$3:$F$4082,2,0)</f>
        <v>#N/A</v>
      </c>
      <c r="D891" t="s">
        <v>1696</v>
      </c>
      <c r="E891" t="s">
        <v>1697</v>
      </c>
    </row>
    <row r="892" spans="1:5" customFormat="1" ht="12.75" hidden="1" x14ac:dyDescent="0.2">
      <c r="A892" s="9" t="s">
        <v>995</v>
      </c>
      <c r="C892" t="e">
        <f>VLOOKUP(B892,[1]rt_remap_detail!$E$3:$F$4082,2,0)</f>
        <v>#N/A</v>
      </c>
      <c r="D892" t="s">
        <v>1696</v>
      </c>
      <c r="E892" t="s">
        <v>1697</v>
      </c>
    </row>
    <row r="893" spans="1:5" customFormat="1" ht="12.75" hidden="1" x14ac:dyDescent="0.2">
      <c r="A893" s="10" t="s">
        <v>996</v>
      </c>
      <c r="C893" t="e">
        <f>VLOOKUP(B893,[1]rt_remap_detail!$E$3:$F$4082,2,0)</f>
        <v>#N/A</v>
      </c>
      <c r="D893" t="s">
        <v>1696</v>
      </c>
      <c r="E893" t="s">
        <v>1697</v>
      </c>
    </row>
    <row r="894" spans="1:5" customFormat="1" ht="12.75" hidden="1" x14ac:dyDescent="0.2">
      <c r="A894" s="9" t="s">
        <v>997</v>
      </c>
      <c r="C894" t="e">
        <f>VLOOKUP(B894,[1]rt_remap_detail!$E$3:$F$4082,2,0)</f>
        <v>#N/A</v>
      </c>
      <c r="D894" t="s">
        <v>1696</v>
      </c>
      <c r="E894" t="s">
        <v>1697</v>
      </c>
    </row>
    <row r="895" spans="1:5" customFormat="1" ht="12.75" hidden="1" x14ac:dyDescent="0.2">
      <c r="A895" s="9" t="s">
        <v>998</v>
      </c>
      <c r="C895" t="e">
        <f>VLOOKUP(B895,[1]rt_remap_detail!$E$3:$F$4082,2,0)</f>
        <v>#N/A</v>
      </c>
      <c r="D895" t="s">
        <v>1696</v>
      </c>
      <c r="E895" t="s">
        <v>1697</v>
      </c>
    </row>
    <row r="896" spans="1:5" customFormat="1" ht="12.75" hidden="1" x14ac:dyDescent="0.2">
      <c r="A896" s="9" t="s">
        <v>1001</v>
      </c>
      <c r="C896" t="e">
        <f>VLOOKUP(B896,[1]rt_remap_detail!$E$3:$F$4082,2,0)</f>
        <v>#N/A</v>
      </c>
      <c r="D896" t="s">
        <v>1696</v>
      </c>
      <c r="E896" t="s">
        <v>1697</v>
      </c>
    </row>
    <row r="897" spans="1:5" customFormat="1" ht="12.75" hidden="1" x14ac:dyDescent="0.2">
      <c r="A897" s="10" t="s">
        <v>1002</v>
      </c>
      <c r="C897" t="e">
        <f>VLOOKUP(B897,[1]rt_remap_detail!$E$3:$F$4082,2,0)</f>
        <v>#N/A</v>
      </c>
      <c r="D897" t="s">
        <v>1696</v>
      </c>
      <c r="E897" t="s">
        <v>1697</v>
      </c>
    </row>
    <row r="898" spans="1:5" customFormat="1" ht="12.75" hidden="1" x14ac:dyDescent="0.2">
      <c r="A898" s="9" t="s">
        <v>1003</v>
      </c>
      <c r="C898" t="e">
        <f>VLOOKUP(B898,[1]rt_remap_detail!$E$3:$F$4082,2,0)</f>
        <v>#N/A</v>
      </c>
      <c r="D898" t="s">
        <v>1696</v>
      </c>
      <c r="E898" t="s">
        <v>1697</v>
      </c>
    </row>
    <row r="899" spans="1:5" customFormat="1" ht="12.75" hidden="1" x14ac:dyDescent="0.2">
      <c r="A899" s="9" t="s">
        <v>1004</v>
      </c>
      <c r="C899" t="e">
        <f>VLOOKUP(B899,[1]rt_remap_detail!$E$3:$F$4082,2,0)</f>
        <v>#N/A</v>
      </c>
      <c r="D899" t="s">
        <v>1696</v>
      </c>
      <c r="E899" t="s">
        <v>1697</v>
      </c>
    </row>
    <row r="900" spans="1:5" customFormat="1" ht="12.75" hidden="1" x14ac:dyDescent="0.2">
      <c r="A900" s="10" t="s">
        <v>1006</v>
      </c>
      <c r="C900" t="e">
        <f>VLOOKUP(B900,[1]rt_remap_detail!$E$3:$F$4082,2,0)</f>
        <v>#N/A</v>
      </c>
      <c r="D900" t="s">
        <v>1696</v>
      </c>
      <c r="E900" t="s">
        <v>1697</v>
      </c>
    </row>
    <row r="901" spans="1:5" customFormat="1" ht="12.75" hidden="1" x14ac:dyDescent="0.2">
      <c r="A901" s="9" t="s">
        <v>1008</v>
      </c>
      <c r="C901" t="e">
        <f>VLOOKUP(B901,[1]rt_remap_detail!$E$3:$F$4082,2,0)</f>
        <v>#N/A</v>
      </c>
      <c r="D901" t="s">
        <v>1696</v>
      </c>
      <c r="E901" t="s">
        <v>1697</v>
      </c>
    </row>
    <row r="902" spans="1:5" customFormat="1" ht="12.75" hidden="1" x14ac:dyDescent="0.2">
      <c r="A902" s="10" t="s">
        <v>1011</v>
      </c>
      <c r="C902" t="e">
        <f>VLOOKUP(B902,[1]rt_remap_detail!$E$3:$F$4082,2,0)</f>
        <v>#N/A</v>
      </c>
      <c r="D902" t="s">
        <v>1696</v>
      </c>
      <c r="E902" t="s">
        <v>1697</v>
      </c>
    </row>
    <row r="903" spans="1:5" customFormat="1" ht="12.75" hidden="1" x14ac:dyDescent="0.2">
      <c r="A903" s="10" t="s">
        <v>1012</v>
      </c>
      <c r="C903" t="e">
        <f>VLOOKUP(B903,[1]rt_remap_detail!$E$3:$F$4082,2,0)</f>
        <v>#N/A</v>
      </c>
      <c r="D903" t="s">
        <v>1696</v>
      </c>
      <c r="E903" t="s">
        <v>1697</v>
      </c>
    </row>
    <row r="904" spans="1:5" customFormat="1" ht="12.75" hidden="1" x14ac:dyDescent="0.2">
      <c r="A904" s="10" t="s">
        <v>1016</v>
      </c>
      <c r="C904" t="e">
        <f>VLOOKUP(B904,[1]rt_remap_detail!$E$3:$F$4082,2,0)</f>
        <v>#N/A</v>
      </c>
      <c r="D904" t="s">
        <v>1696</v>
      </c>
      <c r="E904" t="s">
        <v>1697</v>
      </c>
    </row>
    <row r="905" spans="1:5" customFormat="1" ht="12.75" hidden="1" x14ac:dyDescent="0.2">
      <c r="A905" s="9" t="s">
        <v>1020</v>
      </c>
      <c r="C905" t="e">
        <f>VLOOKUP(B905,[1]rt_remap_detail!$E$3:$F$4082,2,0)</f>
        <v>#N/A</v>
      </c>
      <c r="D905" t="s">
        <v>1696</v>
      </c>
      <c r="E905" t="s">
        <v>1697</v>
      </c>
    </row>
    <row r="906" spans="1:5" customFormat="1" ht="12.75" hidden="1" x14ac:dyDescent="0.2">
      <c r="A906" s="10" t="s">
        <v>1021</v>
      </c>
      <c r="C906" t="e">
        <f>VLOOKUP(B906,[1]rt_remap_detail!$E$3:$F$4082,2,0)</f>
        <v>#N/A</v>
      </c>
      <c r="D906" t="s">
        <v>1696</v>
      </c>
      <c r="E906" t="s">
        <v>1697</v>
      </c>
    </row>
    <row r="907" spans="1:5" customFormat="1" ht="12.75" hidden="1" x14ac:dyDescent="0.2">
      <c r="A907" s="9" t="s">
        <v>1023</v>
      </c>
      <c r="C907" t="e">
        <f>VLOOKUP(B907,[1]rt_remap_detail!$E$3:$F$4082,2,0)</f>
        <v>#N/A</v>
      </c>
      <c r="D907" t="s">
        <v>1696</v>
      </c>
      <c r="E907" t="s">
        <v>1697</v>
      </c>
    </row>
    <row r="908" spans="1:5" customFormat="1" ht="12.75" hidden="1" x14ac:dyDescent="0.2">
      <c r="A908" s="10" t="s">
        <v>1025</v>
      </c>
      <c r="C908" t="e">
        <f>VLOOKUP(B908,[1]rt_remap_detail!$E$3:$F$4082,2,0)</f>
        <v>#N/A</v>
      </c>
      <c r="D908" t="s">
        <v>1696</v>
      </c>
      <c r="E908" t="s">
        <v>1697</v>
      </c>
    </row>
    <row r="909" spans="1:5" customFormat="1" ht="12.75" hidden="1" x14ac:dyDescent="0.2">
      <c r="A909" s="10" t="s">
        <v>1029</v>
      </c>
      <c r="C909" t="e">
        <f>VLOOKUP(B909,[1]rt_remap_detail!$E$3:$F$4082,2,0)</f>
        <v>#N/A</v>
      </c>
      <c r="D909" t="s">
        <v>1696</v>
      </c>
      <c r="E909" t="s">
        <v>1697</v>
      </c>
    </row>
    <row r="910" spans="1:5" customFormat="1" ht="12.75" hidden="1" x14ac:dyDescent="0.2">
      <c r="A910" s="9" t="s">
        <v>1030</v>
      </c>
      <c r="C910" t="e">
        <f>VLOOKUP(B910,[1]rt_remap_detail!$E$3:$F$4082,2,0)</f>
        <v>#N/A</v>
      </c>
      <c r="D910" t="s">
        <v>1696</v>
      </c>
      <c r="E910" t="s">
        <v>1697</v>
      </c>
    </row>
    <row r="911" spans="1:5" customFormat="1" ht="12.75" hidden="1" x14ac:dyDescent="0.2">
      <c r="A911" s="10" t="s">
        <v>1032</v>
      </c>
      <c r="C911" t="e">
        <f>VLOOKUP(B911,[1]rt_remap_detail!$E$3:$F$4082,2,0)</f>
        <v>#N/A</v>
      </c>
      <c r="D911" t="s">
        <v>1696</v>
      </c>
      <c r="E911" t="s">
        <v>1697</v>
      </c>
    </row>
    <row r="912" spans="1:5" customFormat="1" ht="12.75" hidden="1" x14ac:dyDescent="0.2">
      <c r="A912" s="10" t="s">
        <v>1033</v>
      </c>
      <c r="C912" t="e">
        <f>VLOOKUP(B912,[1]rt_remap_detail!$E$3:$F$4082,2,0)</f>
        <v>#N/A</v>
      </c>
      <c r="D912" t="s">
        <v>1696</v>
      </c>
      <c r="E912" t="s">
        <v>1697</v>
      </c>
    </row>
    <row r="913" spans="1:5" customFormat="1" ht="12.75" hidden="1" x14ac:dyDescent="0.2">
      <c r="A913" s="9" t="s">
        <v>1034</v>
      </c>
      <c r="C913" t="e">
        <f>VLOOKUP(B913,[1]rt_remap_detail!$E$3:$F$4082,2,0)</f>
        <v>#N/A</v>
      </c>
      <c r="D913" t="s">
        <v>1696</v>
      </c>
      <c r="E913" t="s">
        <v>1697</v>
      </c>
    </row>
    <row r="914" spans="1:5" customFormat="1" ht="12.75" hidden="1" x14ac:dyDescent="0.2">
      <c r="A914" s="10" t="s">
        <v>1039</v>
      </c>
      <c r="C914" t="e">
        <f>VLOOKUP(B914,[1]rt_remap_detail!$E$3:$F$4082,2,0)</f>
        <v>#N/A</v>
      </c>
      <c r="D914" t="s">
        <v>1696</v>
      </c>
      <c r="E914" t="s">
        <v>1697</v>
      </c>
    </row>
    <row r="915" spans="1:5" customFormat="1" ht="12.75" hidden="1" x14ac:dyDescent="0.2">
      <c r="A915" s="10" t="s">
        <v>1041</v>
      </c>
      <c r="C915" t="e">
        <f>VLOOKUP(B915,[1]rt_remap_detail!$E$3:$F$4082,2,0)</f>
        <v>#N/A</v>
      </c>
      <c r="D915" t="s">
        <v>1696</v>
      </c>
      <c r="E915" t="s">
        <v>1697</v>
      </c>
    </row>
    <row r="916" spans="1:5" customFormat="1" ht="12.75" hidden="1" x14ac:dyDescent="0.2">
      <c r="A916" s="10" t="s">
        <v>1042</v>
      </c>
      <c r="C916" t="e">
        <f>VLOOKUP(B916,[1]rt_remap_detail!$E$3:$F$4082,2,0)</f>
        <v>#N/A</v>
      </c>
      <c r="D916" t="s">
        <v>1696</v>
      </c>
      <c r="E916" t="s">
        <v>1697</v>
      </c>
    </row>
    <row r="917" spans="1:5" customFormat="1" ht="12.75" hidden="1" x14ac:dyDescent="0.2">
      <c r="A917" s="10" t="s">
        <v>1045</v>
      </c>
      <c r="C917" t="e">
        <f>VLOOKUP(B917,[1]rt_remap_detail!$E$3:$F$4082,2,0)</f>
        <v>#N/A</v>
      </c>
      <c r="D917" t="s">
        <v>1696</v>
      </c>
      <c r="E917" t="s">
        <v>1697</v>
      </c>
    </row>
    <row r="918" spans="1:5" customFormat="1" ht="12.75" hidden="1" x14ac:dyDescent="0.2">
      <c r="A918" s="9" t="s">
        <v>1049</v>
      </c>
      <c r="C918" t="e">
        <f>VLOOKUP(B918,[1]rt_remap_detail!$E$3:$F$4082,2,0)</f>
        <v>#N/A</v>
      </c>
      <c r="D918" t="s">
        <v>1696</v>
      </c>
      <c r="E918" t="s">
        <v>1697</v>
      </c>
    </row>
    <row r="919" spans="1:5" customFormat="1" ht="12.75" hidden="1" x14ac:dyDescent="0.2">
      <c r="A919" s="10" t="s">
        <v>1050</v>
      </c>
      <c r="C919" t="e">
        <f>VLOOKUP(B919,[1]rt_remap_detail!$E$3:$F$4082,2,0)</f>
        <v>#N/A</v>
      </c>
      <c r="D919" t="s">
        <v>1696</v>
      </c>
      <c r="E919" t="s">
        <v>1697</v>
      </c>
    </row>
    <row r="920" spans="1:5" customFormat="1" ht="12.75" hidden="1" x14ac:dyDescent="0.2">
      <c r="A920" s="9" t="s">
        <v>1051</v>
      </c>
      <c r="C920" t="e">
        <f>VLOOKUP(B920,[1]rt_remap_detail!$E$3:$F$4082,2,0)</f>
        <v>#N/A</v>
      </c>
      <c r="D920" t="s">
        <v>1696</v>
      </c>
      <c r="E920" t="s">
        <v>1697</v>
      </c>
    </row>
    <row r="921" spans="1:5" customFormat="1" ht="12.75" hidden="1" x14ac:dyDescent="0.2">
      <c r="A921" s="9" t="s">
        <v>1052</v>
      </c>
      <c r="C921" t="e">
        <f>VLOOKUP(B921,[1]rt_remap_detail!$E$3:$F$4082,2,0)</f>
        <v>#N/A</v>
      </c>
      <c r="D921" t="s">
        <v>1696</v>
      </c>
      <c r="E921" t="s">
        <v>1697</v>
      </c>
    </row>
    <row r="922" spans="1:5" customFormat="1" ht="12.75" hidden="1" x14ac:dyDescent="0.2">
      <c r="A922" s="10" t="s">
        <v>1054</v>
      </c>
      <c r="C922" t="e">
        <f>VLOOKUP(B922,[1]rt_remap_detail!$E$3:$F$4082,2,0)</f>
        <v>#N/A</v>
      </c>
      <c r="D922" t="s">
        <v>1696</v>
      </c>
      <c r="E922" t="s">
        <v>1697</v>
      </c>
    </row>
    <row r="923" spans="1:5" customFormat="1" ht="12.75" hidden="1" x14ac:dyDescent="0.2">
      <c r="A923" s="9" t="s">
        <v>1057</v>
      </c>
      <c r="C923" t="e">
        <f>VLOOKUP(B923,[1]rt_remap_detail!$E$3:$F$4082,2,0)</f>
        <v>#N/A</v>
      </c>
      <c r="D923" t="s">
        <v>1696</v>
      </c>
      <c r="E923" t="s">
        <v>1697</v>
      </c>
    </row>
    <row r="924" spans="1:5" customFormat="1" ht="12.75" hidden="1" x14ac:dyDescent="0.2">
      <c r="A924" s="9" t="s">
        <v>1060</v>
      </c>
      <c r="C924" t="e">
        <f>VLOOKUP(B924,[1]rt_remap_detail!$E$3:$F$4082,2,0)</f>
        <v>#N/A</v>
      </c>
      <c r="D924" t="s">
        <v>1696</v>
      </c>
      <c r="E924" t="s">
        <v>1697</v>
      </c>
    </row>
    <row r="925" spans="1:5" customFormat="1" ht="12.75" hidden="1" x14ac:dyDescent="0.2">
      <c r="A925" s="10" t="s">
        <v>1061</v>
      </c>
      <c r="C925" t="e">
        <f>VLOOKUP(B925,[1]rt_remap_detail!$E$3:$F$4082,2,0)</f>
        <v>#N/A</v>
      </c>
      <c r="D925" t="s">
        <v>1696</v>
      </c>
      <c r="E925" t="s">
        <v>1697</v>
      </c>
    </row>
    <row r="926" spans="1:5" customFormat="1" ht="12.75" hidden="1" x14ac:dyDescent="0.2">
      <c r="A926" s="9" t="s">
        <v>1063</v>
      </c>
      <c r="C926" t="e">
        <f>VLOOKUP(B926,[1]rt_remap_detail!$E$3:$F$4082,2,0)</f>
        <v>#N/A</v>
      </c>
      <c r="D926" t="s">
        <v>1696</v>
      </c>
      <c r="E926" t="s">
        <v>1697</v>
      </c>
    </row>
    <row r="927" spans="1:5" customFormat="1" ht="12.75" hidden="1" x14ac:dyDescent="0.2">
      <c r="A927" s="9" t="s">
        <v>1064</v>
      </c>
      <c r="C927" t="e">
        <f>VLOOKUP(B927,[1]rt_remap_detail!$E$3:$F$4082,2,0)</f>
        <v>#N/A</v>
      </c>
      <c r="D927" t="s">
        <v>1696</v>
      </c>
      <c r="E927" t="s">
        <v>1697</v>
      </c>
    </row>
    <row r="928" spans="1:5" customFormat="1" ht="12.75" hidden="1" x14ac:dyDescent="0.2">
      <c r="A928" s="10" t="s">
        <v>1065</v>
      </c>
      <c r="C928" t="e">
        <f>VLOOKUP(B928,[1]rt_remap_detail!$E$3:$F$4082,2,0)</f>
        <v>#N/A</v>
      </c>
      <c r="D928" t="s">
        <v>1696</v>
      </c>
      <c r="E928" t="s">
        <v>1697</v>
      </c>
    </row>
    <row r="929" spans="1:5" customFormat="1" ht="12.75" hidden="1" x14ac:dyDescent="0.2">
      <c r="A929" s="9" t="s">
        <v>1067</v>
      </c>
      <c r="C929" t="e">
        <f>VLOOKUP(B929,[1]rt_remap_detail!$E$3:$F$4082,2,0)</f>
        <v>#N/A</v>
      </c>
      <c r="D929" t="s">
        <v>1696</v>
      </c>
      <c r="E929" t="s">
        <v>1697</v>
      </c>
    </row>
    <row r="930" spans="1:5" customFormat="1" ht="12.75" hidden="1" x14ac:dyDescent="0.2">
      <c r="A930" s="9" t="s">
        <v>1069</v>
      </c>
      <c r="C930" t="e">
        <f>VLOOKUP(B930,[1]rt_remap_detail!$E$3:$F$4082,2,0)</f>
        <v>#N/A</v>
      </c>
      <c r="D930" t="s">
        <v>1696</v>
      </c>
      <c r="E930" t="s">
        <v>1697</v>
      </c>
    </row>
    <row r="931" spans="1:5" customFormat="1" ht="12.75" hidden="1" x14ac:dyDescent="0.2">
      <c r="A931" s="10" t="s">
        <v>1070</v>
      </c>
      <c r="C931" t="e">
        <f>VLOOKUP(B931,[1]rt_remap_detail!$E$3:$F$4082,2,0)</f>
        <v>#N/A</v>
      </c>
      <c r="D931" t="s">
        <v>1696</v>
      </c>
      <c r="E931" t="s">
        <v>1697</v>
      </c>
    </row>
    <row r="932" spans="1:5" customFormat="1" ht="12.75" hidden="1" x14ac:dyDescent="0.2">
      <c r="A932" s="10" t="s">
        <v>1071</v>
      </c>
      <c r="C932" t="e">
        <f>VLOOKUP(B932,[1]rt_remap_detail!$E$3:$F$4082,2,0)</f>
        <v>#N/A</v>
      </c>
      <c r="D932" t="s">
        <v>1696</v>
      </c>
      <c r="E932" t="s">
        <v>1697</v>
      </c>
    </row>
    <row r="933" spans="1:5" customFormat="1" ht="12.75" hidden="1" x14ac:dyDescent="0.2">
      <c r="A933" s="9" t="s">
        <v>1074</v>
      </c>
      <c r="C933" t="e">
        <f>VLOOKUP(B933,[1]rt_remap_detail!$E$3:$F$4082,2,0)</f>
        <v>#N/A</v>
      </c>
      <c r="D933" t="s">
        <v>1696</v>
      </c>
      <c r="E933" t="s">
        <v>1697</v>
      </c>
    </row>
    <row r="934" spans="1:5" customFormat="1" ht="12.75" hidden="1" x14ac:dyDescent="0.2">
      <c r="A934" s="10" t="s">
        <v>1075</v>
      </c>
      <c r="C934" t="e">
        <f>VLOOKUP(B934,[1]rt_remap_detail!$E$3:$F$4082,2,0)</f>
        <v>#N/A</v>
      </c>
      <c r="D934" t="s">
        <v>1696</v>
      </c>
      <c r="E934" t="s">
        <v>1697</v>
      </c>
    </row>
    <row r="935" spans="1:5" customFormat="1" ht="12.75" hidden="1" x14ac:dyDescent="0.2">
      <c r="A935" s="10" t="s">
        <v>1077</v>
      </c>
      <c r="C935" t="e">
        <f>VLOOKUP(B935,[1]rt_remap_detail!$E$3:$F$4082,2,0)</f>
        <v>#N/A</v>
      </c>
      <c r="D935" t="s">
        <v>1696</v>
      </c>
      <c r="E935" t="s">
        <v>1697</v>
      </c>
    </row>
    <row r="936" spans="1:5" customFormat="1" ht="12.75" hidden="1" x14ac:dyDescent="0.2">
      <c r="A936" s="9" t="s">
        <v>1079</v>
      </c>
      <c r="C936" t="e">
        <f>VLOOKUP(B936,[1]rt_remap_detail!$E$3:$F$4082,2,0)</f>
        <v>#N/A</v>
      </c>
      <c r="D936" t="s">
        <v>1696</v>
      </c>
      <c r="E936" t="s">
        <v>1697</v>
      </c>
    </row>
    <row r="937" spans="1:5" customFormat="1" ht="12.75" hidden="1" x14ac:dyDescent="0.2">
      <c r="A937" s="9" t="s">
        <v>1080</v>
      </c>
      <c r="C937" t="e">
        <f>VLOOKUP(B937,[1]rt_remap_detail!$E$3:$F$4082,2,0)</f>
        <v>#N/A</v>
      </c>
      <c r="D937" t="s">
        <v>1696</v>
      </c>
      <c r="E937" t="s">
        <v>1697</v>
      </c>
    </row>
    <row r="938" spans="1:5" customFormat="1" ht="12.75" hidden="1" x14ac:dyDescent="0.2">
      <c r="A938" s="10" t="s">
        <v>1081</v>
      </c>
      <c r="C938" t="e">
        <f>VLOOKUP(B938,[1]rt_remap_detail!$E$3:$F$4082,2,0)</f>
        <v>#N/A</v>
      </c>
      <c r="D938" t="s">
        <v>1696</v>
      </c>
      <c r="E938" t="s">
        <v>1697</v>
      </c>
    </row>
    <row r="939" spans="1:5" customFormat="1" ht="12.75" hidden="1" x14ac:dyDescent="0.2">
      <c r="A939" s="10" t="s">
        <v>1082</v>
      </c>
      <c r="C939" t="e">
        <f>VLOOKUP(B939,[1]rt_remap_detail!$E$3:$F$4082,2,0)</f>
        <v>#N/A</v>
      </c>
      <c r="D939" t="s">
        <v>1696</v>
      </c>
      <c r="E939" t="s">
        <v>1697</v>
      </c>
    </row>
    <row r="940" spans="1:5" customFormat="1" ht="12.75" hidden="1" x14ac:dyDescent="0.2">
      <c r="A940" s="10" t="s">
        <v>1083</v>
      </c>
      <c r="C940" t="e">
        <f>VLOOKUP(B940,[1]rt_remap_detail!$E$3:$F$4082,2,0)</f>
        <v>#N/A</v>
      </c>
      <c r="D940" t="s">
        <v>1696</v>
      </c>
      <c r="E940" t="s">
        <v>1697</v>
      </c>
    </row>
    <row r="941" spans="1:5" customFormat="1" ht="12.75" hidden="1" x14ac:dyDescent="0.2">
      <c r="A941" s="9" t="s">
        <v>1086</v>
      </c>
      <c r="C941" t="e">
        <f>VLOOKUP(B941,[1]rt_remap_detail!$E$3:$F$4082,2,0)</f>
        <v>#N/A</v>
      </c>
      <c r="D941" t="s">
        <v>1696</v>
      </c>
      <c r="E941" t="s">
        <v>1697</v>
      </c>
    </row>
    <row r="942" spans="1:5" customFormat="1" ht="12.75" hidden="1" x14ac:dyDescent="0.2">
      <c r="A942" t="s">
        <v>1088</v>
      </c>
      <c r="C942" t="e">
        <f>VLOOKUP(B942,[1]rt_remap_detail!$E$3:$F$4082,2,0)</f>
        <v>#N/A</v>
      </c>
      <c r="D942" t="s">
        <v>1696</v>
      </c>
      <c r="E942" t="s">
        <v>1697</v>
      </c>
    </row>
    <row r="943" spans="1:5" customFormat="1" ht="12.75" hidden="1" x14ac:dyDescent="0.2">
      <c r="A943" s="11" t="s">
        <v>1089</v>
      </c>
      <c r="C943" t="e">
        <f>VLOOKUP(B943,[1]rt_remap_detail!$E$3:$F$4082,2,0)</f>
        <v>#N/A</v>
      </c>
      <c r="D943" t="s">
        <v>1696</v>
      </c>
      <c r="E943" t="s">
        <v>1697</v>
      </c>
    </row>
    <row r="944" spans="1:5" customFormat="1" ht="12.75" hidden="1" x14ac:dyDescent="0.2">
      <c r="A944" s="11" t="s">
        <v>1090</v>
      </c>
      <c r="C944" t="e">
        <f>VLOOKUP(B944,[1]rt_remap_detail!$E$3:$F$4082,2,0)</f>
        <v>#N/A</v>
      </c>
      <c r="D944" t="s">
        <v>1696</v>
      </c>
      <c r="E944" t="s">
        <v>1697</v>
      </c>
    </row>
    <row r="945" spans="1:5" customFormat="1" ht="12.75" hidden="1" x14ac:dyDescent="0.2">
      <c r="A945" s="11" t="s">
        <v>1091</v>
      </c>
      <c r="C945" t="e">
        <f>VLOOKUP(B945,[1]rt_remap_detail!$E$3:$F$4082,2,0)</f>
        <v>#N/A</v>
      </c>
      <c r="D945" t="s">
        <v>1696</v>
      </c>
      <c r="E945" t="s">
        <v>1697</v>
      </c>
    </row>
    <row r="946" spans="1:5" customFormat="1" ht="12.75" hidden="1" x14ac:dyDescent="0.2">
      <c r="A946" t="s">
        <v>1093</v>
      </c>
      <c r="C946" t="e">
        <f>VLOOKUP(B946,[1]rt_remap_detail!$E$3:$F$4082,2,0)</f>
        <v>#N/A</v>
      </c>
      <c r="D946" t="s">
        <v>1696</v>
      </c>
      <c r="E946" t="s">
        <v>1697</v>
      </c>
    </row>
    <row r="947" spans="1:5" customFormat="1" ht="12.75" hidden="1" x14ac:dyDescent="0.2">
      <c r="A947" t="s">
        <v>1094</v>
      </c>
      <c r="C947" t="e">
        <f>VLOOKUP(B947,[1]rt_remap_detail!$E$3:$F$4082,2,0)</f>
        <v>#N/A</v>
      </c>
      <c r="D947" t="s">
        <v>1696</v>
      </c>
      <c r="E947" t="s">
        <v>1697</v>
      </c>
    </row>
    <row r="948" spans="1:5" customFormat="1" ht="12.75" hidden="1" x14ac:dyDescent="0.2">
      <c r="A948" s="11" t="s">
        <v>1095</v>
      </c>
      <c r="C948" t="e">
        <f>VLOOKUP(B948,[1]rt_remap_detail!$E$3:$F$4082,2,0)</f>
        <v>#N/A</v>
      </c>
      <c r="D948" t="s">
        <v>1696</v>
      </c>
      <c r="E948" t="s">
        <v>1697</v>
      </c>
    </row>
    <row r="949" spans="1:5" customFormat="1" ht="12.75" hidden="1" x14ac:dyDescent="0.2">
      <c r="A949" s="11" t="s">
        <v>1096</v>
      </c>
      <c r="C949" t="e">
        <f>VLOOKUP(B949,[1]rt_remap_detail!$E$3:$F$4082,2,0)</f>
        <v>#N/A</v>
      </c>
      <c r="D949" t="s">
        <v>1696</v>
      </c>
      <c r="E949" t="s">
        <v>1697</v>
      </c>
    </row>
    <row r="950" spans="1:5" customFormat="1" ht="12.75" hidden="1" x14ac:dyDescent="0.2">
      <c r="A950" s="11" t="s">
        <v>1097</v>
      </c>
      <c r="C950" t="e">
        <f>VLOOKUP(B950,[1]rt_remap_detail!$E$3:$F$4082,2,0)</f>
        <v>#N/A</v>
      </c>
      <c r="D950" t="s">
        <v>1696</v>
      </c>
      <c r="E950" t="s">
        <v>1697</v>
      </c>
    </row>
    <row r="951" spans="1:5" customFormat="1" ht="12.75" hidden="1" x14ac:dyDescent="0.2">
      <c r="A951" s="11" t="s">
        <v>1099</v>
      </c>
      <c r="C951" t="e">
        <f>VLOOKUP(B951,[1]rt_remap_detail!$E$3:$F$4082,2,0)</f>
        <v>#N/A</v>
      </c>
      <c r="D951" t="s">
        <v>1696</v>
      </c>
      <c r="E951" t="s">
        <v>1697</v>
      </c>
    </row>
    <row r="952" spans="1:5" customFormat="1" ht="12.75" hidden="1" x14ac:dyDescent="0.2">
      <c r="A952" t="s">
        <v>1102</v>
      </c>
      <c r="C952" t="e">
        <f>VLOOKUP(B952,[1]rt_remap_detail!$E$3:$F$4082,2,0)</f>
        <v>#N/A</v>
      </c>
      <c r="D952" t="s">
        <v>1696</v>
      </c>
      <c r="E952" t="s">
        <v>1697</v>
      </c>
    </row>
    <row r="953" spans="1:5" customFormat="1" ht="12.75" hidden="1" x14ac:dyDescent="0.2">
      <c r="A953" s="11" t="s">
        <v>1103</v>
      </c>
      <c r="C953" t="e">
        <f>VLOOKUP(B953,[1]rt_remap_detail!$E$3:$F$4082,2,0)</f>
        <v>#N/A</v>
      </c>
      <c r="D953" t="s">
        <v>1696</v>
      </c>
      <c r="E953" t="s">
        <v>1697</v>
      </c>
    </row>
  </sheetData>
  <autoFilter ref="A1:G953" xr:uid="{8BA80F6F-686A-4A3F-905F-C0241646EB81}">
    <filterColumn colId="4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5C93-1996-44B1-93FD-F0FE94D43033}">
  <dimension ref="A1:D23"/>
  <sheetViews>
    <sheetView workbookViewId="0">
      <selection activeCell="G18" sqref="G18"/>
    </sheetView>
  </sheetViews>
  <sheetFormatPr defaultRowHeight="12.75" x14ac:dyDescent="0.2"/>
  <cols>
    <col min="1" max="1" width="9" style="19"/>
    <col min="2" max="2" width="17.5" style="19" bestFit="1" customWidth="1"/>
    <col min="3" max="3" width="39.625" style="19" bestFit="1" customWidth="1"/>
    <col min="4" max="4" width="11" style="19" bestFit="1" customWidth="1"/>
    <col min="5" max="16384" width="9" style="19"/>
  </cols>
  <sheetData>
    <row r="1" spans="1:4" ht="15" x14ac:dyDescent="0.25">
      <c r="A1" s="17" t="s">
        <v>14</v>
      </c>
      <c r="B1" s="17" t="s">
        <v>1749</v>
      </c>
      <c r="C1" s="17" t="s">
        <v>1698</v>
      </c>
      <c r="D1" s="17" t="s">
        <v>1885</v>
      </c>
    </row>
    <row r="2" spans="1:4" x14ac:dyDescent="0.2">
      <c r="A2" s="23" t="s">
        <v>1732</v>
      </c>
      <c r="B2" s="23" t="s">
        <v>1887</v>
      </c>
      <c r="C2" s="23"/>
      <c r="D2" s="23">
        <f>LEN(B2)</f>
        <v>7</v>
      </c>
    </row>
    <row r="3" spans="1:4" x14ac:dyDescent="0.2">
      <c r="A3" s="23" t="s">
        <v>1735</v>
      </c>
      <c r="B3" s="23" t="s">
        <v>1888</v>
      </c>
      <c r="C3" s="23"/>
      <c r="D3" s="23">
        <f>LEN(B3)</f>
        <v>6</v>
      </c>
    </row>
    <row r="4" spans="1:4" x14ac:dyDescent="0.2">
      <c r="A4" s="23" t="s">
        <v>1727</v>
      </c>
      <c r="B4" s="23" t="s">
        <v>1889</v>
      </c>
      <c r="C4" s="23"/>
      <c r="D4" s="23">
        <f>LEN(B4)</f>
        <v>5</v>
      </c>
    </row>
    <row r="5" spans="1:4" x14ac:dyDescent="0.2">
      <c r="A5" s="23" t="s">
        <v>1728</v>
      </c>
      <c r="B5" s="23" t="s">
        <v>1890</v>
      </c>
      <c r="C5" s="23" t="s">
        <v>1891</v>
      </c>
      <c r="D5" s="23">
        <f t="shared" ref="D5:D23" si="0">LEN(B5)</f>
        <v>4</v>
      </c>
    </row>
    <row r="6" spans="1:4" x14ac:dyDescent="0.2">
      <c r="A6" s="23" t="s">
        <v>1729</v>
      </c>
      <c r="B6" s="23" t="s">
        <v>1729</v>
      </c>
      <c r="C6" s="23"/>
      <c r="D6" s="23">
        <f t="shared" si="0"/>
        <v>7</v>
      </c>
    </row>
    <row r="7" spans="1:4" x14ac:dyDescent="0.2">
      <c r="A7" s="23" t="s">
        <v>1730</v>
      </c>
      <c r="B7" s="23" t="s">
        <v>1730</v>
      </c>
      <c r="C7" s="23"/>
      <c r="D7" s="23">
        <f t="shared" si="0"/>
        <v>7</v>
      </c>
    </row>
    <row r="8" spans="1:4" x14ac:dyDescent="0.2">
      <c r="A8" s="23" t="s">
        <v>1731</v>
      </c>
      <c r="B8" s="23" t="s">
        <v>1730</v>
      </c>
      <c r="C8" s="23"/>
      <c r="D8" s="23">
        <f t="shared" si="0"/>
        <v>7</v>
      </c>
    </row>
    <row r="9" spans="1:4" x14ac:dyDescent="0.2">
      <c r="A9" s="23" t="s">
        <v>1733</v>
      </c>
      <c r="B9" s="23" t="s">
        <v>1733</v>
      </c>
      <c r="C9" s="23"/>
      <c r="D9" s="23">
        <f t="shared" si="0"/>
        <v>7</v>
      </c>
    </row>
    <row r="10" spans="1:4" x14ac:dyDescent="0.2">
      <c r="A10" s="23" t="s">
        <v>1734</v>
      </c>
      <c r="B10" s="23" t="s">
        <v>1734</v>
      </c>
      <c r="C10" s="23"/>
      <c r="D10" s="23">
        <f t="shared" si="0"/>
        <v>5</v>
      </c>
    </row>
    <row r="11" spans="1:4" x14ac:dyDescent="0.2">
      <c r="A11" s="23" t="s">
        <v>1736</v>
      </c>
      <c r="B11" s="23" t="s">
        <v>1736</v>
      </c>
      <c r="C11" s="23"/>
      <c r="D11" s="23">
        <f t="shared" si="0"/>
        <v>6</v>
      </c>
    </row>
    <row r="12" spans="1:4" x14ac:dyDescent="0.2">
      <c r="A12" s="23" t="s">
        <v>1737</v>
      </c>
      <c r="B12" s="23" t="s">
        <v>1886</v>
      </c>
      <c r="C12" s="23"/>
      <c r="D12" s="23">
        <f t="shared" si="0"/>
        <v>6</v>
      </c>
    </row>
    <row r="13" spans="1:4" x14ac:dyDescent="0.2">
      <c r="A13" s="23" t="s">
        <v>1738</v>
      </c>
      <c r="B13" s="23" t="s">
        <v>1738</v>
      </c>
      <c r="C13" s="23"/>
      <c r="D13" s="23">
        <f t="shared" si="0"/>
        <v>6</v>
      </c>
    </row>
    <row r="14" spans="1:4" x14ac:dyDescent="0.2">
      <c r="A14" s="23" t="s">
        <v>1739</v>
      </c>
      <c r="B14" s="23" t="s">
        <v>1739</v>
      </c>
      <c r="C14" s="23"/>
      <c r="D14" s="23">
        <f t="shared" si="0"/>
        <v>6</v>
      </c>
    </row>
    <row r="15" spans="1:4" x14ac:dyDescent="0.2">
      <c r="A15" s="23" t="s">
        <v>1740</v>
      </c>
      <c r="B15" s="23" t="s">
        <v>1740</v>
      </c>
      <c r="C15" s="23"/>
      <c r="D15" s="23">
        <f t="shared" si="0"/>
        <v>6</v>
      </c>
    </row>
    <row r="16" spans="1:4" x14ac:dyDescent="0.2">
      <c r="A16" s="23" t="s">
        <v>1741</v>
      </c>
      <c r="B16" s="23" t="s">
        <v>1781</v>
      </c>
      <c r="C16" s="23" t="s">
        <v>1782</v>
      </c>
      <c r="D16" s="23">
        <f t="shared" si="0"/>
        <v>6</v>
      </c>
    </row>
    <row r="17" spans="1:4" x14ac:dyDescent="0.2">
      <c r="A17" s="23" t="s">
        <v>1742</v>
      </c>
      <c r="B17" s="23" t="s">
        <v>1742</v>
      </c>
      <c r="C17" s="23"/>
      <c r="D17" s="23">
        <f t="shared" si="0"/>
        <v>7</v>
      </c>
    </row>
    <row r="18" spans="1:4" x14ac:dyDescent="0.2">
      <c r="A18" s="23" t="s">
        <v>1743</v>
      </c>
      <c r="B18" s="23" t="s">
        <v>1743</v>
      </c>
      <c r="C18" s="23"/>
      <c r="D18" s="23">
        <f t="shared" si="0"/>
        <v>7</v>
      </c>
    </row>
    <row r="19" spans="1:4" x14ac:dyDescent="0.2">
      <c r="A19" s="23" t="s">
        <v>1744</v>
      </c>
      <c r="B19" s="23" t="s">
        <v>1744</v>
      </c>
      <c r="C19" s="23"/>
      <c r="D19" s="23">
        <f t="shared" si="0"/>
        <v>7</v>
      </c>
    </row>
    <row r="20" spans="1:4" x14ac:dyDescent="0.2">
      <c r="A20" s="23" t="s">
        <v>1745</v>
      </c>
      <c r="B20" s="23" t="s">
        <v>1745</v>
      </c>
      <c r="C20" s="23"/>
      <c r="D20" s="23">
        <f t="shared" si="0"/>
        <v>7</v>
      </c>
    </row>
    <row r="21" spans="1:4" x14ac:dyDescent="0.2">
      <c r="A21" s="23" t="s">
        <v>1746</v>
      </c>
      <c r="B21" s="23" t="s">
        <v>1748</v>
      </c>
      <c r="C21" s="23"/>
      <c r="D21" s="23">
        <f t="shared" si="0"/>
        <v>7</v>
      </c>
    </row>
    <row r="22" spans="1:4" x14ac:dyDescent="0.2">
      <c r="A22" s="23" t="s">
        <v>1747</v>
      </c>
      <c r="B22" s="23" t="s">
        <v>1747</v>
      </c>
      <c r="C22" s="23"/>
      <c r="D22" s="23">
        <f t="shared" si="0"/>
        <v>7</v>
      </c>
    </row>
    <row r="23" spans="1:4" x14ac:dyDescent="0.2">
      <c r="A23" s="23" t="s">
        <v>1748</v>
      </c>
      <c r="B23" s="23" t="s">
        <v>1748</v>
      </c>
      <c r="C23" s="23"/>
      <c r="D23" s="23">
        <f t="shared" si="0"/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098B3-D6F9-441E-9F46-7AF0AA9B6E20}">
  <dimension ref="A1:C10"/>
  <sheetViews>
    <sheetView workbookViewId="0">
      <selection activeCell="B2" sqref="B2:B10"/>
    </sheetView>
  </sheetViews>
  <sheetFormatPr defaultRowHeight="12.75" x14ac:dyDescent="0.2"/>
  <cols>
    <col min="1" max="1" width="10.75" style="19" bestFit="1" customWidth="1"/>
    <col min="2" max="16384" width="9" style="19"/>
  </cols>
  <sheetData>
    <row r="1" spans="1:3" ht="15" x14ac:dyDescent="0.25">
      <c r="A1" s="17" t="s">
        <v>1</v>
      </c>
      <c r="B1" s="17" t="s">
        <v>1768</v>
      </c>
      <c r="C1" s="17" t="s">
        <v>118</v>
      </c>
    </row>
    <row r="2" spans="1:3" x14ac:dyDescent="0.2">
      <c r="A2" s="20" t="s">
        <v>1760</v>
      </c>
      <c r="B2" s="20" t="s">
        <v>1770</v>
      </c>
      <c r="C2" s="20" t="s">
        <v>1771</v>
      </c>
    </row>
    <row r="3" spans="1:3" x14ac:dyDescent="0.2">
      <c r="A3" s="19" t="s">
        <v>1761</v>
      </c>
      <c r="B3" s="19" t="s">
        <v>1761</v>
      </c>
    </row>
    <row r="4" spans="1:3" x14ac:dyDescent="0.2">
      <c r="A4" s="19" t="s">
        <v>1762</v>
      </c>
      <c r="B4" s="19" t="s">
        <v>1762</v>
      </c>
    </row>
    <row r="5" spans="1:3" x14ac:dyDescent="0.2">
      <c r="A5" s="19" t="s">
        <v>1763</v>
      </c>
      <c r="B5" s="19" t="s">
        <v>1763</v>
      </c>
    </row>
    <row r="6" spans="1:3" x14ac:dyDescent="0.2">
      <c r="A6" s="19" t="s">
        <v>1764</v>
      </c>
      <c r="B6" s="19" t="s">
        <v>1764</v>
      </c>
    </row>
    <row r="7" spans="1:3" x14ac:dyDescent="0.2">
      <c r="A7" s="19" t="s">
        <v>1765</v>
      </c>
      <c r="B7" s="19" t="s">
        <v>1765</v>
      </c>
    </row>
    <row r="8" spans="1:3" x14ac:dyDescent="0.2">
      <c r="A8" s="20" t="s">
        <v>259</v>
      </c>
      <c r="B8" s="20" t="s">
        <v>259</v>
      </c>
      <c r="C8" s="20" t="s">
        <v>1769</v>
      </c>
    </row>
    <row r="9" spans="1:3" x14ac:dyDescent="0.2">
      <c r="A9" s="19" t="s">
        <v>1766</v>
      </c>
      <c r="B9" s="19" t="s">
        <v>1766</v>
      </c>
    </row>
    <row r="10" spans="1:3" x14ac:dyDescent="0.2">
      <c r="A10" s="19" t="s">
        <v>1767</v>
      </c>
      <c r="B10" s="19" t="s">
        <v>1767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FF8E9-96B2-4696-8F93-6D815F096A20}">
  <dimension ref="A1:B10"/>
  <sheetViews>
    <sheetView workbookViewId="0">
      <selection activeCell="B2" sqref="B2:B10"/>
    </sheetView>
  </sheetViews>
  <sheetFormatPr defaultRowHeight="12.75" x14ac:dyDescent="0.2"/>
  <cols>
    <col min="1" max="16384" width="9" style="19"/>
  </cols>
  <sheetData>
    <row r="1" spans="1:2" ht="15" x14ac:dyDescent="0.25">
      <c r="A1" s="17" t="s">
        <v>3</v>
      </c>
      <c r="B1" s="17" t="s">
        <v>1759</v>
      </c>
    </row>
    <row r="2" spans="1:2" x14ac:dyDescent="0.2">
      <c r="A2" s="21" t="s">
        <v>1750</v>
      </c>
      <c r="B2" s="21" t="s">
        <v>1772</v>
      </c>
    </row>
    <row r="3" spans="1:2" x14ac:dyDescent="0.2">
      <c r="A3" s="19" t="s">
        <v>1751</v>
      </c>
      <c r="B3" s="19" t="s">
        <v>1773</v>
      </c>
    </row>
    <row r="4" spans="1:2" x14ac:dyDescent="0.2">
      <c r="A4" s="19" t="s">
        <v>1752</v>
      </c>
      <c r="B4" s="19" t="s">
        <v>1774</v>
      </c>
    </row>
    <row r="5" spans="1:2" x14ac:dyDescent="0.2">
      <c r="A5" s="21" t="s">
        <v>1753</v>
      </c>
      <c r="B5" s="21" t="s">
        <v>1775</v>
      </c>
    </row>
    <row r="6" spans="1:2" x14ac:dyDescent="0.2">
      <c r="A6" s="19" t="s">
        <v>1754</v>
      </c>
      <c r="B6" s="19" t="s">
        <v>1776</v>
      </c>
    </row>
    <row r="7" spans="1:2" x14ac:dyDescent="0.2">
      <c r="A7" s="19" t="s">
        <v>1755</v>
      </c>
      <c r="B7" s="19" t="s">
        <v>1777</v>
      </c>
    </row>
    <row r="8" spans="1:2" x14ac:dyDescent="0.2">
      <c r="A8" s="21" t="s">
        <v>1756</v>
      </c>
      <c r="B8" s="21" t="s">
        <v>1778</v>
      </c>
    </row>
    <row r="9" spans="1:2" x14ac:dyDescent="0.2">
      <c r="A9" s="19" t="s">
        <v>1757</v>
      </c>
      <c r="B9" s="19" t="s">
        <v>1779</v>
      </c>
    </row>
    <row r="10" spans="1:2" x14ac:dyDescent="0.2">
      <c r="A10" s="21" t="s">
        <v>1758</v>
      </c>
      <c r="B10" s="21" t="s">
        <v>1780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CB7F6-FBF0-43C7-9E80-50D90B8CB525}">
  <dimension ref="A1:E74"/>
  <sheetViews>
    <sheetView workbookViewId="0"/>
  </sheetViews>
  <sheetFormatPr defaultRowHeight="12.75" x14ac:dyDescent="0.2"/>
  <cols>
    <col min="1" max="2" width="7.75" bestFit="1" customWidth="1"/>
    <col min="3" max="3" width="26.5" bestFit="1" customWidth="1"/>
    <col min="4" max="4" width="16.875" bestFit="1" customWidth="1"/>
  </cols>
  <sheetData>
    <row r="1" spans="1:5" x14ac:dyDescent="0.2">
      <c r="A1" t="s">
        <v>0</v>
      </c>
      <c r="B1" t="s">
        <v>1857</v>
      </c>
      <c r="C1" t="s">
        <v>1783</v>
      </c>
      <c r="D1" t="s">
        <v>118</v>
      </c>
      <c r="E1" t="s">
        <v>1865</v>
      </c>
    </row>
    <row r="2" spans="1:5" x14ac:dyDescent="0.2">
      <c r="A2" t="s">
        <v>1784</v>
      </c>
      <c r="B2" t="s">
        <v>1784</v>
      </c>
      <c r="C2" t="e">
        <f>VLOOKUP(B2,[2]Sheet1!$A$2:$A$70,1,0)</f>
        <v>#N/A</v>
      </c>
      <c r="D2" t="s">
        <v>1866</v>
      </c>
      <c r="E2" t="s">
        <v>650</v>
      </c>
    </row>
    <row r="3" spans="1:5" x14ac:dyDescent="0.2">
      <c r="A3" t="s">
        <v>1785</v>
      </c>
      <c r="B3" t="s">
        <v>1858</v>
      </c>
      <c r="C3" t="str">
        <f>VLOOKUP(B3,[2]Sheet1!$A$2:$A$70,1,0)</f>
        <v>BD</v>
      </c>
      <c r="E3" t="s">
        <v>1785</v>
      </c>
    </row>
    <row r="4" spans="1:5" x14ac:dyDescent="0.2">
      <c r="A4" t="s">
        <v>1786</v>
      </c>
      <c r="B4" t="s">
        <v>1859</v>
      </c>
      <c r="C4" t="str">
        <f>VLOOKUP(B4,[2]Sheet1!$A$2:$A$70,1,0)</f>
        <v>LB</v>
      </c>
      <c r="E4" t="s">
        <v>1786</v>
      </c>
    </row>
    <row r="5" spans="1:5" x14ac:dyDescent="0.2">
      <c r="A5" t="s">
        <v>1787</v>
      </c>
      <c r="B5" t="s">
        <v>1860</v>
      </c>
      <c r="C5" t="str">
        <f>VLOOKUP(B5,[2]Sheet1!$A$2:$A$70,1,0)</f>
        <v>BS</v>
      </c>
      <c r="E5" t="s">
        <v>1787</v>
      </c>
    </row>
    <row r="6" spans="1:5" x14ac:dyDescent="0.2">
      <c r="A6" t="s">
        <v>1788</v>
      </c>
      <c r="B6" t="s">
        <v>1861</v>
      </c>
      <c r="C6" t="str">
        <f>VLOOKUP(B6,[2]Sheet1!$A$2:$A$70,1,0)</f>
        <v>SD</v>
      </c>
      <c r="E6" t="s">
        <v>1788</v>
      </c>
    </row>
    <row r="7" spans="1:5" x14ac:dyDescent="0.2">
      <c r="A7" t="s">
        <v>1789</v>
      </c>
      <c r="B7" t="s">
        <v>1862</v>
      </c>
      <c r="C7" t="str">
        <f>VLOOKUP(B7,[2]Sheet1!$A$2:$A$70,1,0)</f>
        <v>MS</v>
      </c>
      <c r="E7" t="s">
        <v>1789</v>
      </c>
    </row>
    <row r="8" spans="1:5" x14ac:dyDescent="0.2">
      <c r="A8" t="s">
        <v>1790</v>
      </c>
      <c r="B8" t="s">
        <v>1790</v>
      </c>
      <c r="C8" t="e">
        <f>VLOOKUP(B8,[2]Sheet1!$A$2:$A$70,1,0)</f>
        <v>#N/A</v>
      </c>
      <c r="D8" t="s">
        <v>1864</v>
      </c>
      <c r="E8" t="s">
        <v>1790</v>
      </c>
    </row>
    <row r="9" spans="1:5" x14ac:dyDescent="0.2">
      <c r="A9" t="s">
        <v>1791</v>
      </c>
      <c r="B9" t="s">
        <v>1863</v>
      </c>
      <c r="C9" t="str">
        <f>VLOOKUP(B9,[2]Sheet1!$A$2:$A$70,1,0)</f>
        <v>LR</v>
      </c>
      <c r="E9" t="s">
        <v>1791</v>
      </c>
    </row>
    <row r="10" spans="1:5" x14ac:dyDescent="0.2">
      <c r="A10" t="s">
        <v>1792</v>
      </c>
      <c r="B10" t="s">
        <v>1860</v>
      </c>
      <c r="C10" t="str">
        <f>VLOOKUP(B10,[2]Sheet1!$A$2:$A$70,1,0)</f>
        <v>BS</v>
      </c>
      <c r="E10" t="s">
        <v>1792</v>
      </c>
    </row>
    <row r="11" spans="1:5" x14ac:dyDescent="0.2">
      <c r="A11" t="s">
        <v>1793</v>
      </c>
      <c r="B11" t="s">
        <v>1862</v>
      </c>
      <c r="C11" t="str">
        <f>VLOOKUP(B11,[2]Sheet1!$A$2:$A$70,1,0)</f>
        <v>MS</v>
      </c>
      <c r="E11" t="s">
        <v>1793</v>
      </c>
    </row>
    <row r="12" spans="1:5" x14ac:dyDescent="0.2">
      <c r="A12" t="s">
        <v>1794</v>
      </c>
      <c r="B12" t="s">
        <v>1861</v>
      </c>
      <c r="C12" t="str">
        <f>VLOOKUP(B12,[2]Sheet1!$A$2:$A$70,1,0)</f>
        <v>SD</v>
      </c>
      <c r="E12" t="s">
        <v>1794</v>
      </c>
    </row>
    <row r="13" spans="1:5" x14ac:dyDescent="0.2">
      <c r="A13" t="s">
        <v>1795</v>
      </c>
      <c r="B13" t="s">
        <v>1859</v>
      </c>
      <c r="C13" t="str">
        <f>VLOOKUP(B13,[2]Sheet1!$A$2:$A$70,1,0)</f>
        <v>LB</v>
      </c>
      <c r="E13" t="s">
        <v>1795</v>
      </c>
    </row>
    <row r="14" spans="1:5" x14ac:dyDescent="0.2">
      <c r="A14" t="s">
        <v>1796</v>
      </c>
      <c r="B14" t="s">
        <v>1862</v>
      </c>
      <c r="C14" t="str">
        <f>VLOOKUP(B14,[2]Sheet1!$A$2:$A$70,1,0)</f>
        <v>MS</v>
      </c>
      <c r="E14" t="s">
        <v>1796</v>
      </c>
    </row>
    <row r="15" spans="1:5" x14ac:dyDescent="0.2">
      <c r="A15" t="s">
        <v>1797</v>
      </c>
      <c r="B15" t="s">
        <v>1858</v>
      </c>
      <c r="C15" t="str">
        <f>VLOOKUP(B15,[2]Sheet1!$A$2:$A$70,1,0)</f>
        <v>BD</v>
      </c>
      <c r="E15" t="s">
        <v>1797</v>
      </c>
    </row>
    <row r="16" spans="1:5" x14ac:dyDescent="0.2">
      <c r="A16" t="s">
        <v>1798</v>
      </c>
      <c r="B16" t="s">
        <v>1861</v>
      </c>
      <c r="C16" t="str">
        <f>VLOOKUP(B16,[2]Sheet1!$A$2:$A$70,1,0)</f>
        <v>SD</v>
      </c>
      <c r="E16" t="s">
        <v>1798</v>
      </c>
    </row>
    <row r="17" spans="1:5" x14ac:dyDescent="0.2">
      <c r="A17" t="s">
        <v>1799</v>
      </c>
      <c r="B17" t="s">
        <v>1862</v>
      </c>
      <c r="C17" t="str">
        <f>VLOOKUP(B17,[2]Sheet1!$A$2:$A$70,1,0)</f>
        <v>MS</v>
      </c>
      <c r="E17" t="s">
        <v>1799</v>
      </c>
    </row>
    <row r="18" spans="1:5" x14ac:dyDescent="0.2">
      <c r="A18" t="s">
        <v>1800</v>
      </c>
      <c r="B18" t="s">
        <v>1861</v>
      </c>
      <c r="C18" t="str">
        <f>VLOOKUP(B18,[2]Sheet1!$A$2:$A$70,1,0)</f>
        <v>SD</v>
      </c>
      <c r="E18" t="s">
        <v>1800</v>
      </c>
    </row>
    <row r="19" spans="1:5" x14ac:dyDescent="0.2">
      <c r="A19" t="s">
        <v>1801</v>
      </c>
      <c r="B19" t="s">
        <v>1859</v>
      </c>
      <c r="C19" t="str">
        <f>VLOOKUP(B19,[2]Sheet1!$A$2:$A$70,1,0)</f>
        <v>LB</v>
      </c>
      <c r="E19" t="s">
        <v>1801</v>
      </c>
    </row>
    <row r="20" spans="1:5" x14ac:dyDescent="0.2">
      <c r="A20" t="s">
        <v>1802</v>
      </c>
      <c r="B20" t="s">
        <v>1860</v>
      </c>
      <c r="C20" t="str">
        <f>VLOOKUP(B20,[2]Sheet1!$A$2:$A$70,1,0)</f>
        <v>BS</v>
      </c>
      <c r="E20" t="s">
        <v>1802</v>
      </c>
    </row>
    <row r="21" spans="1:5" x14ac:dyDescent="0.2">
      <c r="A21" t="s">
        <v>1803</v>
      </c>
      <c r="B21" t="s">
        <v>1860</v>
      </c>
      <c r="C21" t="str">
        <f>VLOOKUP(B21,[2]Sheet1!$A$2:$A$70,1,0)</f>
        <v>BS</v>
      </c>
      <c r="E21" t="s">
        <v>1803</v>
      </c>
    </row>
    <row r="22" spans="1:5" x14ac:dyDescent="0.2">
      <c r="A22" t="s">
        <v>1804</v>
      </c>
      <c r="B22" t="s">
        <v>1858</v>
      </c>
      <c r="C22" t="str">
        <f>VLOOKUP(B22,[2]Sheet1!$A$2:$A$70,1,0)</f>
        <v>BD</v>
      </c>
      <c r="E22" t="s">
        <v>1804</v>
      </c>
    </row>
    <row r="23" spans="1:5" x14ac:dyDescent="0.2">
      <c r="A23" t="s">
        <v>1805</v>
      </c>
      <c r="B23" t="s">
        <v>1859</v>
      </c>
      <c r="C23" t="str">
        <f>VLOOKUP(B23,[2]Sheet1!$A$2:$A$70,1,0)</f>
        <v>LB</v>
      </c>
      <c r="E23" t="s">
        <v>1805</v>
      </c>
    </row>
    <row r="24" spans="1:5" x14ac:dyDescent="0.2">
      <c r="A24" t="s">
        <v>1806</v>
      </c>
      <c r="B24" t="s">
        <v>1859</v>
      </c>
      <c r="C24" t="str">
        <f>VLOOKUP(B24,[2]Sheet1!$A$2:$A$70,1,0)</f>
        <v>LB</v>
      </c>
      <c r="E24" t="s">
        <v>1806</v>
      </c>
    </row>
    <row r="25" spans="1:5" x14ac:dyDescent="0.2">
      <c r="A25" t="s">
        <v>1807</v>
      </c>
      <c r="B25" t="s">
        <v>1862</v>
      </c>
      <c r="C25" t="str">
        <f>VLOOKUP(B25,[2]Sheet1!$A$2:$A$70,1,0)</f>
        <v>MS</v>
      </c>
      <c r="E25" t="s">
        <v>1807</v>
      </c>
    </row>
    <row r="26" spans="1:5" x14ac:dyDescent="0.2">
      <c r="A26" t="s">
        <v>1808</v>
      </c>
      <c r="B26" t="s">
        <v>1861</v>
      </c>
      <c r="C26" t="str">
        <f>VLOOKUP(B26,[2]Sheet1!$A$2:$A$70,1,0)</f>
        <v>SD</v>
      </c>
      <c r="E26" t="s">
        <v>1808</v>
      </c>
    </row>
    <row r="27" spans="1:5" x14ac:dyDescent="0.2">
      <c r="A27" t="s">
        <v>1809</v>
      </c>
      <c r="B27" t="s">
        <v>1858</v>
      </c>
      <c r="C27" t="str">
        <f>VLOOKUP(B27,[2]Sheet1!$A$2:$A$70,1,0)</f>
        <v>BD</v>
      </c>
      <c r="E27" t="s">
        <v>1809</v>
      </c>
    </row>
    <row r="28" spans="1:5" x14ac:dyDescent="0.2">
      <c r="A28" t="s">
        <v>1810</v>
      </c>
      <c r="B28" t="s">
        <v>1858</v>
      </c>
      <c r="C28" t="str">
        <f>VLOOKUP(B28,[2]Sheet1!$A$2:$A$70,1,0)</f>
        <v>BD</v>
      </c>
      <c r="E28" t="s">
        <v>1810</v>
      </c>
    </row>
    <row r="29" spans="1:5" x14ac:dyDescent="0.2">
      <c r="A29" t="s">
        <v>1811</v>
      </c>
      <c r="B29" t="s">
        <v>1860</v>
      </c>
      <c r="C29" t="str">
        <f>VLOOKUP(B29,[2]Sheet1!$A$2:$A$70,1,0)</f>
        <v>BS</v>
      </c>
      <c r="E29" t="s">
        <v>1811</v>
      </c>
    </row>
    <row r="30" spans="1:5" x14ac:dyDescent="0.2">
      <c r="A30" t="s">
        <v>1812</v>
      </c>
      <c r="B30" t="s">
        <v>1859</v>
      </c>
      <c r="C30" t="str">
        <f>VLOOKUP(B30,[2]Sheet1!$A$2:$A$70,1,0)</f>
        <v>LB</v>
      </c>
      <c r="E30" t="s">
        <v>1812</v>
      </c>
    </row>
    <row r="31" spans="1:5" x14ac:dyDescent="0.2">
      <c r="A31" t="s">
        <v>1813</v>
      </c>
      <c r="B31" t="s">
        <v>1858</v>
      </c>
      <c r="C31" t="str">
        <f>VLOOKUP(B31,[2]Sheet1!$A$2:$A$70,1,0)</f>
        <v>BD</v>
      </c>
      <c r="E31" t="s">
        <v>1813</v>
      </c>
    </row>
    <row r="32" spans="1:5" x14ac:dyDescent="0.2">
      <c r="A32" t="s">
        <v>1814</v>
      </c>
      <c r="B32" t="s">
        <v>1860</v>
      </c>
      <c r="C32" t="str">
        <f>VLOOKUP(B32,[2]Sheet1!$A$2:$A$70,1,0)</f>
        <v>BS</v>
      </c>
      <c r="E32" t="s">
        <v>1814</v>
      </c>
    </row>
    <row r="33" spans="1:5" x14ac:dyDescent="0.2">
      <c r="A33" t="s">
        <v>1815</v>
      </c>
      <c r="B33" t="s">
        <v>1859</v>
      </c>
      <c r="C33" t="str">
        <f>VLOOKUP(B33,[2]Sheet1!$A$2:$A$70,1,0)</f>
        <v>LB</v>
      </c>
      <c r="E33" t="s">
        <v>1815</v>
      </c>
    </row>
    <row r="34" spans="1:5" x14ac:dyDescent="0.2">
      <c r="A34" t="s">
        <v>1816</v>
      </c>
      <c r="B34" t="s">
        <v>1859</v>
      </c>
      <c r="C34" t="str">
        <f>VLOOKUP(B34,[2]Sheet1!$A$2:$A$70,1,0)</f>
        <v>LB</v>
      </c>
      <c r="E34" t="s">
        <v>1816</v>
      </c>
    </row>
    <row r="35" spans="1:5" x14ac:dyDescent="0.2">
      <c r="A35" t="s">
        <v>1817</v>
      </c>
      <c r="B35" t="s">
        <v>1860</v>
      </c>
      <c r="C35" t="str">
        <f>VLOOKUP(B35,[2]Sheet1!$A$2:$A$70,1,0)</f>
        <v>BS</v>
      </c>
      <c r="E35" t="s">
        <v>1817</v>
      </c>
    </row>
    <row r="36" spans="1:5" x14ac:dyDescent="0.2">
      <c r="A36" t="s">
        <v>1818</v>
      </c>
      <c r="B36" t="s">
        <v>1860</v>
      </c>
      <c r="C36" t="str">
        <f>VLOOKUP(B36,[2]Sheet1!$A$2:$A$70,1,0)</f>
        <v>BS</v>
      </c>
      <c r="E36" t="s">
        <v>1818</v>
      </c>
    </row>
    <row r="37" spans="1:5" x14ac:dyDescent="0.2">
      <c r="A37" t="s">
        <v>1819</v>
      </c>
      <c r="B37" t="s">
        <v>1858</v>
      </c>
      <c r="C37" t="str">
        <f>VLOOKUP(B37,[2]Sheet1!$A$2:$A$70,1,0)</f>
        <v>BD</v>
      </c>
      <c r="E37" t="s">
        <v>1819</v>
      </c>
    </row>
    <row r="38" spans="1:5" x14ac:dyDescent="0.2">
      <c r="A38" t="s">
        <v>1820</v>
      </c>
      <c r="B38" t="s">
        <v>1858</v>
      </c>
      <c r="C38" t="str">
        <f>VLOOKUP(B38,[2]Sheet1!$A$2:$A$70,1,0)</f>
        <v>BD</v>
      </c>
      <c r="E38" t="s">
        <v>1820</v>
      </c>
    </row>
    <row r="39" spans="1:5" x14ac:dyDescent="0.2">
      <c r="A39" t="s">
        <v>1821</v>
      </c>
      <c r="B39" t="s">
        <v>1862</v>
      </c>
      <c r="C39" t="str">
        <f>VLOOKUP(B39,[2]Sheet1!$A$2:$A$70,1,0)</f>
        <v>MS</v>
      </c>
      <c r="E39" t="s">
        <v>1821</v>
      </c>
    </row>
    <row r="40" spans="1:5" x14ac:dyDescent="0.2">
      <c r="A40" t="s">
        <v>1822</v>
      </c>
      <c r="B40" t="s">
        <v>1861</v>
      </c>
      <c r="C40" t="str">
        <f>VLOOKUP(B40,[2]Sheet1!$A$2:$A$70,1,0)</f>
        <v>SD</v>
      </c>
      <c r="E40" t="s">
        <v>1822</v>
      </c>
    </row>
    <row r="41" spans="1:5" x14ac:dyDescent="0.2">
      <c r="A41" t="s">
        <v>1823</v>
      </c>
      <c r="B41" t="s">
        <v>1861</v>
      </c>
      <c r="C41" t="str">
        <f>VLOOKUP(B41,[2]Sheet1!$A$2:$A$70,1,0)</f>
        <v>SD</v>
      </c>
      <c r="E41" t="s">
        <v>1823</v>
      </c>
    </row>
    <row r="42" spans="1:5" x14ac:dyDescent="0.2">
      <c r="A42" t="s">
        <v>1824</v>
      </c>
      <c r="B42" t="s">
        <v>1862</v>
      </c>
      <c r="C42" t="str">
        <f>VLOOKUP(B42,[2]Sheet1!$A$2:$A$70,1,0)</f>
        <v>MS</v>
      </c>
      <c r="E42" t="s">
        <v>1824</v>
      </c>
    </row>
    <row r="43" spans="1:5" x14ac:dyDescent="0.2">
      <c r="A43" t="s">
        <v>1825</v>
      </c>
      <c r="B43" t="s">
        <v>1862</v>
      </c>
      <c r="C43" t="str">
        <f>VLOOKUP(B43,[2]Sheet1!$A$2:$A$70,1,0)</f>
        <v>MS</v>
      </c>
      <c r="E43" t="s">
        <v>1825</v>
      </c>
    </row>
    <row r="44" spans="1:5" x14ac:dyDescent="0.2">
      <c r="A44" t="s">
        <v>1826</v>
      </c>
      <c r="B44" t="s">
        <v>1861</v>
      </c>
      <c r="C44" t="str">
        <f>VLOOKUP(B44,[2]Sheet1!$A$2:$A$70,1,0)</f>
        <v>SD</v>
      </c>
      <c r="E44" t="s">
        <v>1826</v>
      </c>
    </row>
    <row r="45" spans="1:5" x14ac:dyDescent="0.2">
      <c r="A45" t="s">
        <v>1827</v>
      </c>
      <c r="B45" t="s">
        <v>1861</v>
      </c>
      <c r="C45" t="str">
        <f>VLOOKUP(B45,[2]Sheet1!$A$2:$A$70,1,0)</f>
        <v>SD</v>
      </c>
      <c r="E45" t="s">
        <v>1827</v>
      </c>
    </row>
    <row r="46" spans="1:5" x14ac:dyDescent="0.2">
      <c r="A46" t="s">
        <v>1828</v>
      </c>
      <c r="B46" t="s">
        <v>1862</v>
      </c>
      <c r="C46" t="str">
        <f>VLOOKUP(B46,[2]Sheet1!$A$2:$A$70,1,0)</f>
        <v>MS</v>
      </c>
      <c r="E46" t="s">
        <v>1828</v>
      </c>
    </row>
    <row r="47" spans="1:5" x14ac:dyDescent="0.2">
      <c r="A47" t="s">
        <v>1829</v>
      </c>
      <c r="B47" t="s">
        <v>1859</v>
      </c>
      <c r="C47" t="str">
        <f>VLOOKUP(B47,[2]Sheet1!$A$2:$A$70,1,0)</f>
        <v>LB</v>
      </c>
      <c r="E47" t="s">
        <v>1829</v>
      </c>
    </row>
    <row r="48" spans="1:5" x14ac:dyDescent="0.2">
      <c r="A48" t="s">
        <v>1830</v>
      </c>
      <c r="B48" t="s">
        <v>1858</v>
      </c>
      <c r="C48" t="str">
        <f>VLOOKUP(B48,[2]Sheet1!$A$2:$A$70,1,0)</f>
        <v>BD</v>
      </c>
      <c r="E48" t="s">
        <v>1830</v>
      </c>
    </row>
    <row r="49" spans="1:5" x14ac:dyDescent="0.2">
      <c r="A49" t="s">
        <v>1831</v>
      </c>
      <c r="B49" t="s">
        <v>1860</v>
      </c>
      <c r="C49" t="str">
        <f>VLOOKUP(B49,[2]Sheet1!$A$2:$A$70,1,0)</f>
        <v>BS</v>
      </c>
      <c r="E49" t="s">
        <v>1831</v>
      </c>
    </row>
    <row r="50" spans="1:5" x14ac:dyDescent="0.2">
      <c r="A50" t="s">
        <v>1832</v>
      </c>
      <c r="B50" t="s">
        <v>1832</v>
      </c>
      <c r="C50" t="e">
        <f>VLOOKUP(B50,[2]Sheet1!$A$2:$A$70,1,0)</f>
        <v>#N/A</v>
      </c>
      <c r="E50" t="s">
        <v>1832</v>
      </c>
    </row>
    <row r="51" spans="1:5" x14ac:dyDescent="0.2">
      <c r="A51" t="s">
        <v>1833</v>
      </c>
      <c r="B51" t="s">
        <v>1833</v>
      </c>
      <c r="C51" t="e">
        <f>VLOOKUP(B51,[2]Sheet1!$A$2:$A$70,1,0)</f>
        <v>#N/A</v>
      </c>
      <c r="E51" t="s">
        <v>1833</v>
      </c>
    </row>
    <row r="52" spans="1:5" x14ac:dyDescent="0.2">
      <c r="A52" t="s">
        <v>1834</v>
      </c>
      <c r="B52" t="s">
        <v>1834</v>
      </c>
      <c r="C52" t="e">
        <f>VLOOKUP(B52,[2]Sheet1!$A$2:$A$70,1,0)</f>
        <v>#N/A</v>
      </c>
      <c r="E52" t="s">
        <v>1834</v>
      </c>
    </row>
    <row r="53" spans="1:5" x14ac:dyDescent="0.2">
      <c r="A53" t="s">
        <v>1835</v>
      </c>
      <c r="B53" t="s">
        <v>1835</v>
      </c>
      <c r="C53" t="e">
        <f>VLOOKUP(B53,[2]Sheet1!$A$2:$A$70,1,0)</f>
        <v>#N/A</v>
      </c>
      <c r="E53" t="s">
        <v>1835</v>
      </c>
    </row>
    <row r="54" spans="1:5" x14ac:dyDescent="0.2">
      <c r="A54" t="s">
        <v>1836</v>
      </c>
      <c r="B54" t="s">
        <v>1836</v>
      </c>
      <c r="C54" t="e">
        <f>VLOOKUP(B54,[2]Sheet1!$A$2:$A$70,1,0)</f>
        <v>#N/A</v>
      </c>
      <c r="E54" t="s">
        <v>1836</v>
      </c>
    </row>
    <row r="55" spans="1:5" x14ac:dyDescent="0.2">
      <c r="A55" t="s">
        <v>1837</v>
      </c>
      <c r="B55" t="s">
        <v>1837</v>
      </c>
      <c r="C55" t="str">
        <f>VLOOKUP(B55,[2]Sheet1!$A$2:$A$70,1,0)</f>
        <v>BSD</v>
      </c>
      <c r="E55" t="s">
        <v>1837</v>
      </c>
    </row>
    <row r="56" spans="1:5" x14ac:dyDescent="0.2">
      <c r="A56" t="s">
        <v>1838</v>
      </c>
      <c r="B56" t="s">
        <v>1838</v>
      </c>
      <c r="C56" t="e">
        <f>VLOOKUP(B56,[2]Sheet1!$A$2:$A$70,1,0)</f>
        <v>#N/A</v>
      </c>
      <c r="E56" t="s">
        <v>1838</v>
      </c>
    </row>
    <row r="57" spans="1:5" x14ac:dyDescent="0.2">
      <c r="A57" t="s">
        <v>1839</v>
      </c>
      <c r="B57" t="s">
        <v>1839</v>
      </c>
      <c r="C57" t="e">
        <f>VLOOKUP(B57,[2]Sheet1!$A$2:$A$70,1,0)</f>
        <v>#N/A</v>
      </c>
      <c r="E57" t="s">
        <v>1839</v>
      </c>
    </row>
    <row r="58" spans="1:5" x14ac:dyDescent="0.2">
      <c r="A58" t="s">
        <v>1840</v>
      </c>
      <c r="B58" t="s">
        <v>1840</v>
      </c>
      <c r="C58" t="e">
        <f>VLOOKUP(B58,[2]Sheet1!$A$2:$A$70,1,0)</f>
        <v>#N/A</v>
      </c>
      <c r="E58" t="s">
        <v>1840</v>
      </c>
    </row>
    <row r="59" spans="1:5" x14ac:dyDescent="0.2">
      <c r="A59" t="s">
        <v>1841</v>
      </c>
      <c r="B59" t="s">
        <v>1841</v>
      </c>
      <c r="C59" t="e">
        <f>VLOOKUP(B59,[2]Sheet1!$A$2:$A$70,1,0)</f>
        <v>#N/A</v>
      </c>
      <c r="E59" t="s">
        <v>1841</v>
      </c>
    </row>
    <row r="60" spans="1:5" x14ac:dyDescent="0.2">
      <c r="A60" t="s">
        <v>1842</v>
      </c>
      <c r="B60" t="s">
        <v>1842</v>
      </c>
      <c r="C60" t="e">
        <f>VLOOKUP(B60,[2]Sheet1!$A$2:$A$70,1,0)</f>
        <v>#N/A</v>
      </c>
      <c r="E60" t="s">
        <v>1842</v>
      </c>
    </row>
    <row r="61" spans="1:5" x14ac:dyDescent="0.2">
      <c r="A61" t="s">
        <v>1843</v>
      </c>
      <c r="B61" t="s">
        <v>1843</v>
      </c>
      <c r="C61" t="e">
        <f>VLOOKUP(B61,[2]Sheet1!$A$2:$A$70,1,0)</f>
        <v>#N/A</v>
      </c>
      <c r="E61" t="s">
        <v>1843</v>
      </c>
    </row>
    <row r="62" spans="1:5" x14ac:dyDescent="0.2">
      <c r="A62" t="s">
        <v>1844</v>
      </c>
      <c r="B62" t="s">
        <v>1844</v>
      </c>
      <c r="C62" t="e">
        <f>VLOOKUP(B62,[2]Sheet1!$A$2:$A$70,1,0)</f>
        <v>#N/A</v>
      </c>
      <c r="E62" t="s">
        <v>1844</v>
      </c>
    </row>
    <row r="63" spans="1:5" x14ac:dyDescent="0.2">
      <c r="A63" t="s">
        <v>1845</v>
      </c>
      <c r="B63" t="s">
        <v>1845</v>
      </c>
      <c r="C63" t="e">
        <f>VLOOKUP(B63,[2]Sheet1!$A$2:$A$70,1,0)</f>
        <v>#N/A</v>
      </c>
      <c r="E63" t="s">
        <v>1845</v>
      </c>
    </row>
    <row r="64" spans="1:5" x14ac:dyDescent="0.2">
      <c r="A64" t="s">
        <v>1846</v>
      </c>
      <c r="B64" t="s">
        <v>1846</v>
      </c>
      <c r="C64" t="e">
        <f>VLOOKUP(B64,[2]Sheet1!$A$2:$A$70,1,0)</f>
        <v>#N/A</v>
      </c>
      <c r="E64" t="s">
        <v>1846</v>
      </c>
    </row>
    <row r="65" spans="1:5" x14ac:dyDescent="0.2">
      <c r="A65" t="s">
        <v>1847</v>
      </c>
      <c r="B65" t="s">
        <v>1847</v>
      </c>
      <c r="C65" t="e">
        <f>VLOOKUP(B65,[2]Sheet1!$A$2:$A$70,1,0)</f>
        <v>#N/A</v>
      </c>
      <c r="E65" t="s">
        <v>1847</v>
      </c>
    </row>
    <row r="66" spans="1:5" x14ac:dyDescent="0.2">
      <c r="A66" t="s">
        <v>1848</v>
      </c>
      <c r="B66" t="s">
        <v>1848</v>
      </c>
      <c r="C66" t="e">
        <f>VLOOKUP(B66,[2]Sheet1!$A$2:$A$70,1,0)</f>
        <v>#N/A</v>
      </c>
      <c r="E66" t="s">
        <v>1848</v>
      </c>
    </row>
    <row r="67" spans="1:5" x14ac:dyDescent="0.2">
      <c r="A67" t="s">
        <v>1849</v>
      </c>
      <c r="B67" t="s">
        <v>1849</v>
      </c>
      <c r="C67" t="e">
        <f>VLOOKUP(B67,[2]Sheet1!$A$2:$A$70,1,0)</f>
        <v>#N/A</v>
      </c>
      <c r="E67" t="s">
        <v>1849</v>
      </c>
    </row>
    <row r="68" spans="1:5" x14ac:dyDescent="0.2">
      <c r="A68" t="s">
        <v>1850</v>
      </c>
      <c r="B68" t="s">
        <v>1850</v>
      </c>
      <c r="C68" t="e">
        <f>VLOOKUP(B68,[2]Sheet1!$A$2:$A$70,1,0)</f>
        <v>#N/A</v>
      </c>
      <c r="E68" t="s">
        <v>1850</v>
      </c>
    </row>
    <row r="69" spans="1:5" x14ac:dyDescent="0.2">
      <c r="A69" t="s">
        <v>1851</v>
      </c>
      <c r="B69" t="s">
        <v>1851</v>
      </c>
      <c r="C69" t="e">
        <f>VLOOKUP(B69,[2]Sheet1!$A$2:$A$70,1,0)</f>
        <v>#N/A</v>
      </c>
      <c r="E69" t="s">
        <v>1851</v>
      </c>
    </row>
    <row r="70" spans="1:5" x14ac:dyDescent="0.2">
      <c r="A70" t="s">
        <v>1852</v>
      </c>
      <c r="B70" t="s">
        <v>1852</v>
      </c>
      <c r="C70" t="e">
        <f>VLOOKUP(B70,[2]Sheet1!$A$2:$A$70,1,0)</f>
        <v>#N/A</v>
      </c>
      <c r="E70" t="s">
        <v>1852</v>
      </c>
    </row>
    <row r="71" spans="1:5" x14ac:dyDescent="0.2">
      <c r="A71" t="s">
        <v>1853</v>
      </c>
      <c r="B71" t="s">
        <v>1853</v>
      </c>
      <c r="C71" t="e">
        <f>VLOOKUP(B71,[2]Sheet1!$A$2:$A$70,1,0)</f>
        <v>#N/A</v>
      </c>
      <c r="E71" t="s">
        <v>1853</v>
      </c>
    </row>
    <row r="72" spans="1:5" x14ac:dyDescent="0.2">
      <c r="A72" t="s">
        <v>1854</v>
      </c>
      <c r="B72" t="s">
        <v>1854</v>
      </c>
      <c r="C72" t="e">
        <f>VLOOKUP(B72,[2]Sheet1!$A$2:$A$70,1,0)</f>
        <v>#N/A</v>
      </c>
      <c r="E72" t="s">
        <v>1854</v>
      </c>
    </row>
    <row r="73" spans="1:5" x14ac:dyDescent="0.2">
      <c r="A73" t="s">
        <v>1855</v>
      </c>
      <c r="B73" t="s">
        <v>1855</v>
      </c>
      <c r="C73" t="e">
        <f>VLOOKUP(B73,[2]Sheet1!$A$2:$A$70,1,0)</f>
        <v>#N/A</v>
      </c>
      <c r="E73" t="s">
        <v>1855</v>
      </c>
    </row>
    <row r="74" spans="1:5" x14ac:dyDescent="0.2">
      <c r="A74" t="s">
        <v>1856</v>
      </c>
      <c r="B74" t="s">
        <v>1856</v>
      </c>
      <c r="C74" t="e">
        <f>VLOOKUP(B74,[2]Sheet1!$A$2:$A$70,1,0)</f>
        <v>#N/A</v>
      </c>
      <c r="E74" t="s">
        <v>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4A3C-6EB2-4C40-B17A-857F4DE5448F}">
  <dimension ref="A1:I89"/>
  <sheetViews>
    <sheetView tabSelected="1" zoomScaleNormal="100" workbookViewId="0">
      <pane ySplit="1" topLeftCell="A15" activePane="bottomLeft" state="frozen"/>
      <selection pane="bottomLeft" activeCell="J25" sqref="J25"/>
    </sheetView>
  </sheetViews>
  <sheetFormatPr defaultColWidth="11.375" defaultRowHeight="15" customHeight="1" x14ac:dyDescent="0.2"/>
  <cols>
    <col min="1" max="1" width="29.125" style="8" customWidth="1"/>
    <col min="2" max="2" width="44.75" customWidth="1"/>
    <col min="3" max="3" width="16.125" style="1" bestFit="1" customWidth="1"/>
    <col min="4" max="5" width="31.125" style="1" hidden="1" customWidth="1"/>
    <col min="6" max="6" width="0" style="1" hidden="1" customWidth="1"/>
    <col min="7" max="7" width="13.625" style="1" customWidth="1"/>
    <col min="8" max="8" width="11.375" style="1"/>
    <col min="10" max="10" width="11.375" style="1"/>
    <col min="11" max="11" width="26.125" style="1" bestFit="1" customWidth="1"/>
    <col min="12" max="16384" width="11.375" style="1"/>
  </cols>
  <sheetData>
    <row r="1" spans="1:9" s="27" customFormat="1" ht="17.25" customHeight="1" x14ac:dyDescent="0.2">
      <c r="A1" s="24" t="s">
        <v>1722</v>
      </c>
      <c r="B1" s="25" t="s">
        <v>1724</v>
      </c>
      <c r="C1" s="25" t="s">
        <v>1867</v>
      </c>
      <c r="D1" s="25" t="s">
        <v>1868</v>
      </c>
      <c r="E1" s="25" t="s">
        <v>1869</v>
      </c>
      <c r="F1" s="25" t="s">
        <v>118</v>
      </c>
      <c r="G1" s="25" t="s">
        <v>1870</v>
      </c>
      <c r="H1" s="25" t="s">
        <v>1723</v>
      </c>
      <c r="I1" s="26"/>
    </row>
    <row r="2" spans="1:9" ht="38.25" hidden="1" x14ac:dyDescent="0.2">
      <c r="A2" s="7" t="s">
        <v>119</v>
      </c>
      <c r="B2" s="5" t="s">
        <v>105</v>
      </c>
      <c r="C2" t="s">
        <v>4</v>
      </c>
      <c r="D2" s="1" t="s">
        <v>1871</v>
      </c>
      <c r="E2" s="1" t="s">
        <v>1872</v>
      </c>
    </row>
    <row r="3" spans="1:9" ht="25.5" hidden="1" x14ac:dyDescent="0.2">
      <c r="A3" s="7" t="s">
        <v>101</v>
      </c>
      <c r="B3" s="5" t="s">
        <v>106</v>
      </c>
      <c r="C3" s="2" t="s">
        <v>5</v>
      </c>
      <c r="D3" s="1" t="s">
        <v>1873</v>
      </c>
      <c r="E3" s="1" t="s">
        <v>1872</v>
      </c>
    </row>
    <row r="4" spans="1:9" ht="25.5" hidden="1" x14ac:dyDescent="0.2">
      <c r="A4" s="7" t="s">
        <v>102</v>
      </c>
      <c r="B4" s="5" t="s">
        <v>107</v>
      </c>
      <c r="C4" s="2" t="s">
        <v>6</v>
      </c>
      <c r="D4" s="1" t="s">
        <v>1874</v>
      </c>
      <c r="E4" s="1" t="s">
        <v>1872</v>
      </c>
    </row>
    <row r="5" spans="1:9" ht="38.25" hidden="1" x14ac:dyDescent="0.2">
      <c r="A5" s="7" t="s">
        <v>120</v>
      </c>
      <c r="B5" s="5" t="s">
        <v>108</v>
      </c>
      <c r="C5" s="2" t="s">
        <v>7</v>
      </c>
      <c r="D5" s="22" t="s">
        <v>7</v>
      </c>
      <c r="E5" s="1" t="s">
        <v>1875</v>
      </c>
    </row>
    <row r="6" spans="1:9" ht="38.25" hidden="1" x14ac:dyDescent="0.2">
      <c r="A6" s="7" t="s">
        <v>121</v>
      </c>
      <c r="B6" s="5" t="s">
        <v>109</v>
      </c>
      <c r="C6" s="3" t="s">
        <v>8</v>
      </c>
      <c r="D6" s="1" t="s">
        <v>1876</v>
      </c>
      <c r="E6" s="1" t="s">
        <v>1872</v>
      </c>
    </row>
    <row r="7" spans="1:9" ht="38.25" hidden="1" x14ac:dyDescent="0.2">
      <c r="A7" s="7" t="s">
        <v>122</v>
      </c>
      <c r="B7" s="5" t="s">
        <v>110</v>
      </c>
      <c r="C7" s="2" t="s">
        <v>1</v>
      </c>
      <c r="D7" s="1" t="s">
        <v>1</v>
      </c>
      <c r="E7" s="1" t="s">
        <v>1872</v>
      </c>
      <c r="H7" s="1" t="s">
        <v>161</v>
      </c>
    </row>
    <row r="8" spans="1:9" ht="25.5" hidden="1" x14ac:dyDescent="0.2">
      <c r="A8" s="7" t="s">
        <v>123</v>
      </c>
      <c r="B8" s="5" t="s">
        <v>58</v>
      </c>
      <c r="C8" s="2" t="s">
        <v>9</v>
      </c>
      <c r="D8" s="22" t="s">
        <v>10</v>
      </c>
      <c r="E8" s="1" t="s">
        <v>1875</v>
      </c>
    </row>
    <row r="9" spans="1:9" ht="38.25" hidden="1" x14ac:dyDescent="0.2">
      <c r="A9" s="7" t="s">
        <v>124</v>
      </c>
      <c r="B9" s="5" t="s">
        <v>111</v>
      </c>
      <c r="C9" s="2" t="s">
        <v>10</v>
      </c>
      <c r="D9" s="1" t="s">
        <v>10</v>
      </c>
      <c r="E9" s="1" t="s">
        <v>1875</v>
      </c>
    </row>
    <row r="10" spans="1:9" ht="25.5" hidden="1" x14ac:dyDescent="0.2">
      <c r="A10" s="7" t="s">
        <v>125</v>
      </c>
      <c r="B10" s="5" t="s">
        <v>59</v>
      </c>
      <c r="C10" s="2" t="s">
        <v>11</v>
      </c>
      <c r="D10" s="1" t="s">
        <v>11</v>
      </c>
      <c r="E10" s="1" t="s">
        <v>1872</v>
      </c>
    </row>
    <row r="11" spans="1:9" ht="25.5" hidden="1" x14ac:dyDescent="0.2">
      <c r="A11" s="7" t="s">
        <v>126</v>
      </c>
      <c r="B11" s="5" t="s">
        <v>112</v>
      </c>
      <c r="C11" s="2" t="s">
        <v>12</v>
      </c>
      <c r="D11" s="22" t="s">
        <v>12</v>
      </c>
      <c r="E11" s="1" t="s">
        <v>1875</v>
      </c>
      <c r="H11" s="1" t="s">
        <v>161</v>
      </c>
    </row>
    <row r="12" spans="1:9" ht="25.5" hidden="1" x14ac:dyDescent="0.2">
      <c r="A12" s="7" t="s">
        <v>127</v>
      </c>
      <c r="B12" s="5" t="s">
        <v>113</v>
      </c>
      <c r="C12" s="2" t="s">
        <v>13</v>
      </c>
      <c r="D12" s="22" t="s">
        <v>13</v>
      </c>
      <c r="E12" s="1" t="s">
        <v>1875</v>
      </c>
    </row>
    <row r="13" spans="1:9" ht="25.5" hidden="1" x14ac:dyDescent="0.2">
      <c r="A13" s="7" t="s">
        <v>128</v>
      </c>
      <c r="B13" s="5" t="s">
        <v>60</v>
      </c>
      <c r="C13" s="2" t="s">
        <v>0</v>
      </c>
      <c r="D13" s="1" t="s">
        <v>0</v>
      </c>
      <c r="E13" s="1" t="s">
        <v>1872</v>
      </c>
      <c r="H13" s="1" t="s">
        <v>161</v>
      </c>
    </row>
    <row r="14" spans="1:9" ht="25.5" hidden="1" x14ac:dyDescent="0.2">
      <c r="A14" s="7" t="s">
        <v>129</v>
      </c>
      <c r="B14" s="5" t="s">
        <v>114</v>
      </c>
      <c r="C14" s="3" t="s">
        <v>14</v>
      </c>
      <c r="D14" s="1" t="s">
        <v>1877</v>
      </c>
      <c r="E14" s="1" t="s">
        <v>1872</v>
      </c>
      <c r="H14" s="1" t="s">
        <v>161</v>
      </c>
    </row>
    <row r="15" spans="1:9" ht="38.25" x14ac:dyDescent="0.2">
      <c r="A15" s="7" t="s">
        <v>130</v>
      </c>
      <c r="B15" s="5" t="s">
        <v>61</v>
      </c>
      <c r="C15" s="2" t="s">
        <v>15</v>
      </c>
      <c r="G15" s="1" t="s">
        <v>361</v>
      </c>
    </row>
    <row r="16" spans="1:9" ht="25.5" x14ac:dyDescent="0.2">
      <c r="A16" s="7" t="s">
        <v>131</v>
      </c>
      <c r="B16" s="5" t="s">
        <v>115</v>
      </c>
      <c r="C16" s="2" t="s">
        <v>16</v>
      </c>
      <c r="G16" s="1" t="s">
        <v>1877</v>
      </c>
    </row>
    <row r="17" spans="1:8" ht="27.6" customHeight="1" x14ac:dyDescent="0.2">
      <c r="A17" s="7" t="s">
        <v>132</v>
      </c>
      <c r="B17" s="5" t="s">
        <v>62</v>
      </c>
      <c r="C17" s="2" t="s">
        <v>17</v>
      </c>
      <c r="D17" s="1" t="s">
        <v>17</v>
      </c>
      <c r="E17" s="1" t="s">
        <v>1875</v>
      </c>
    </row>
    <row r="18" spans="1:8" ht="25.5" x14ac:dyDescent="0.2">
      <c r="A18" s="7" t="s">
        <v>133</v>
      </c>
      <c r="B18" s="5" t="s">
        <v>63</v>
      </c>
      <c r="C18" t="s">
        <v>18</v>
      </c>
    </row>
    <row r="19" spans="1:8" ht="38.25" x14ac:dyDescent="0.2">
      <c r="A19" s="7" t="s">
        <v>103</v>
      </c>
      <c r="B19" s="5" t="s">
        <v>116</v>
      </c>
      <c r="C19" s="3" t="s">
        <v>19</v>
      </c>
      <c r="D19" s="1" t="s">
        <v>1878</v>
      </c>
      <c r="E19" s="1" t="s">
        <v>1872</v>
      </c>
    </row>
    <row r="20" spans="1:8" ht="25.5" x14ac:dyDescent="0.2">
      <c r="A20" s="7" t="s">
        <v>104</v>
      </c>
      <c r="B20" s="5" t="s">
        <v>117</v>
      </c>
      <c r="C20" s="2" t="s">
        <v>20</v>
      </c>
      <c r="D20" s="1" t="s">
        <v>1878</v>
      </c>
      <c r="F20" s="1" t="s">
        <v>160</v>
      </c>
    </row>
    <row r="21" spans="1:8" ht="38.25" x14ac:dyDescent="0.2">
      <c r="A21" s="7" t="s">
        <v>134</v>
      </c>
      <c r="B21" s="5" t="s">
        <v>64</v>
      </c>
      <c r="C21" s="3" t="s">
        <v>21</v>
      </c>
      <c r="H21" s="1" t="s">
        <v>161</v>
      </c>
    </row>
    <row r="22" spans="1:8" ht="38.25" x14ac:dyDescent="0.2">
      <c r="A22" s="7"/>
      <c r="B22" s="5" t="s">
        <v>65</v>
      </c>
      <c r="C22" s="2" t="s">
        <v>22</v>
      </c>
      <c r="F22" s="1" t="s">
        <v>160</v>
      </c>
    </row>
    <row r="23" spans="1:8" ht="25.5" x14ac:dyDescent="0.2">
      <c r="A23" s="7" t="s">
        <v>135</v>
      </c>
      <c r="B23" s="5" t="s">
        <v>66</v>
      </c>
      <c r="C23" t="s">
        <v>23</v>
      </c>
    </row>
    <row r="24" spans="1:8" ht="38.25" x14ac:dyDescent="0.2">
      <c r="A24" s="7" t="s">
        <v>136</v>
      </c>
      <c r="B24" s="5" t="s">
        <v>67</v>
      </c>
      <c r="C24" s="2" t="s">
        <v>24</v>
      </c>
      <c r="D24" s="1" t="s">
        <v>24</v>
      </c>
      <c r="E24" s="1" t="s">
        <v>1875</v>
      </c>
    </row>
    <row r="25" spans="1:8" ht="25.5" x14ac:dyDescent="0.2">
      <c r="A25" s="7" t="s">
        <v>137</v>
      </c>
      <c r="B25" s="5" t="s">
        <v>68</v>
      </c>
      <c r="C25" s="4" t="s">
        <v>25</v>
      </c>
    </row>
    <row r="26" spans="1:8" ht="25.5" x14ac:dyDescent="0.2">
      <c r="A26" s="7" t="s">
        <v>138</v>
      </c>
      <c r="B26" s="5" t="s">
        <v>69</v>
      </c>
      <c r="C26" s="2" t="s">
        <v>26</v>
      </c>
      <c r="G26" s="1" t="s">
        <v>361</v>
      </c>
    </row>
    <row r="27" spans="1:8" ht="25.5" x14ac:dyDescent="0.2">
      <c r="A27" s="7"/>
      <c r="B27" s="5" t="s">
        <v>70</v>
      </c>
      <c r="C27" t="s">
        <v>27</v>
      </c>
    </row>
    <row r="28" spans="1:8" ht="38.25" x14ac:dyDescent="0.2">
      <c r="A28" s="7" t="s">
        <v>139</v>
      </c>
      <c r="B28" s="5" t="s">
        <v>71</v>
      </c>
      <c r="C28" t="s">
        <v>28</v>
      </c>
      <c r="D28" s="1" t="s">
        <v>10</v>
      </c>
      <c r="E28" s="1" t="s">
        <v>1875</v>
      </c>
    </row>
    <row r="29" spans="1:8" ht="25.5" x14ac:dyDescent="0.2">
      <c r="A29" s="7" t="s">
        <v>140</v>
      </c>
      <c r="B29" s="5" t="s">
        <v>72</v>
      </c>
      <c r="C29" t="s">
        <v>29</v>
      </c>
    </row>
    <row r="30" spans="1:8" ht="38.25" x14ac:dyDescent="0.2">
      <c r="A30" s="7" t="s">
        <v>141</v>
      </c>
      <c r="B30" s="5" t="s">
        <v>73</v>
      </c>
      <c r="C30" t="s">
        <v>30</v>
      </c>
      <c r="F30" s="1" t="s">
        <v>163</v>
      </c>
    </row>
    <row r="31" spans="1:8" ht="38.25" x14ac:dyDescent="0.2">
      <c r="A31" s="7" t="s">
        <v>142</v>
      </c>
      <c r="B31" s="5" t="s">
        <v>74</v>
      </c>
      <c r="C31" s="3" t="s">
        <v>31</v>
      </c>
      <c r="G31" s="1" t="s">
        <v>361</v>
      </c>
      <c r="H31" s="1" t="s">
        <v>161</v>
      </c>
    </row>
    <row r="32" spans="1:8" ht="25.5" x14ac:dyDescent="0.2">
      <c r="A32" s="7" t="s">
        <v>143</v>
      </c>
      <c r="B32" s="5" t="s">
        <v>75</v>
      </c>
      <c r="C32" s="3" t="s">
        <v>32</v>
      </c>
      <c r="D32" s="1" t="s">
        <v>1879</v>
      </c>
      <c r="E32" s="1" t="s">
        <v>1872</v>
      </c>
      <c r="H32" s="1" t="s">
        <v>162</v>
      </c>
    </row>
    <row r="33" spans="1:8" ht="38.25" x14ac:dyDescent="0.2">
      <c r="A33" s="7"/>
      <c r="B33" s="5" t="s">
        <v>76</v>
      </c>
      <c r="C33" s="2" t="s">
        <v>33</v>
      </c>
      <c r="D33" s="1" t="s">
        <v>1880</v>
      </c>
      <c r="E33" s="1" t="s">
        <v>1872</v>
      </c>
    </row>
    <row r="34" spans="1:8" ht="38.25" x14ac:dyDescent="0.2">
      <c r="A34" s="7" t="s">
        <v>144</v>
      </c>
      <c r="B34" s="5" t="s">
        <v>77</v>
      </c>
      <c r="C34" s="2" t="s">
        <v>2</v>
      </c>
      <c r="D34" s="1" t="s">
        <v>2</v>
      </c>
      <c r="E34" s="1" t="s">
        <v>1872</v>
      </c>
    </row>
    <row r="35" spans="1:8" ht="38.25" x14ac:dyDescent="0.2">
      <c r="A35" s="7" t="s">
        <v>145</v>
      </c>
      <c r="B35" s="5" t="s">
        <v>78</v>
      </c>
      <c r="C35" t="s">
        <v>34</v>
      </c>
      <c r="D35" s="1" t="s">
        <v>1881</v>
      </c>
      <c r="E35" s="1" t="s">
        <v>1872</v>
      </c>
    </row>
    <row r="36" spans="1:8" ht="63.75" x14ac:dyDescent="0.2">
      <c r="A36" s="7" t="s">
        <v>146</v>
      </c>
      <c r="B36" s="5" t="s">
        <v>79</v>
      </c>
      <c r="C36" t="s">
        <v>35</v>
      </c>
      <c r="D36" s="1" t="s">
        <v>1882</v>
      </c>
      <c r="E36" s="1" t="s">
        <v>1872</v>
      </c>
      <c r="H36" s="1" t="s">
        <v>1883</v>
      </c>
    </row>
    <row r="37" spans="1:8" ht="51" x14ac:dyDescent="0.2">
      <c r="A37" s="7" t="s">
        <v>147</v>
      </c>
      <c r="B37" s="5" t="s">
        <v>80</v>
      </c>
      <c r="C37" s="2" t="s">
        <v>36</v>
      </c>
      <c r="D37" s="1" t="s">
        <v>1884</v>
      </c>
      <c r="E37" s="1" t="s">
        <v>1872</v>
      </c>
    </row>
    <row r="38" spans="1:8" ht="51" x14ac:dyDescent="0.2">
      <c r="A38" s="7" t="s">
        <v>148</v>
      </c>
      <c r="B38" s="5" t="s">
        <v>81</v>
      </c>
      <c r="C38" t="s">
        <v>37</v>
      </c>
    </row>
    <row r="39" spans="1:8" ht="38.25" x14ac:dyDescent="0.2">
      <c r="A39" s="7" t="s">
        <v>149</v>
      </c>
      <c r="B39" s="5" t="s">
        <v>82</v>
      </c>
      <c r="C39" s="2" t="s">
        <v>3</v>
      </c>
      <c r="D39" s="1" t="s">
        <v>3</v>
      </c>
      <c r="E39" s="1" t="s">
        <v>1872</v>
      </c>
    </row>
    <row r="40" spans="1:8" ht="38.25" x14ac:dyDescent="0.2">
      <c r="A40" s="7" t="s">
        <v>150</v>
      </c>
      <c r="B40" s="5" t="s">
        <v>83</v>
      </c>
      <c r="C40" t="s">
        <v>38</v>
      </c>
    </row>
    <row r="41" spans="1:8" ht="38.25" x14ac:dyDescent="0.2">
      <c r="A41" s="7" t="s">
        <v>151</v>
      </c>
      <c r="B41" s="5" t="s">
        <v>84</v>
      </c>
      <c r="C41" s="2" t="s">
        <v>39</v>
      </c>
      <c r="D41" s="1" t="s">
        <v>39</v>
      </c>
      <c r="E41" s="1" t="s">
        <v>1875</v>
      </c>
    </row>
    <row r="42" spans="1:8" ht="25.5" x14ac:dyDescent="0.2">
      <c r="A42" s="7" t="s">
        <v>152</v>
      </c>
      <c r="B42" s="5" t="s">
        <v>85</v>
      </c>
      <c r="C42" t="s">
        <v>40</v>
      </c>
    </row>
    <row r="43" spans="1:8" ht="38.25" x14ac:dyDescent="0.2">
      <c r="A43" s="7" t="s">
        <v>153</v>
      </c>
      <c r="B43" s="5" t="s">
        <v>86</v>
      </c>
      <c r="C43" s="2" t="s">
        <v>41</v>
      </c>
      <c r="G43" s="1" t="s">
        <v>361</v>
      </c>
    </row>
    <row r="44" spans="1:8" ht="25.5" x14ac:dyDescent="0.2">
      <c r="A44" s="7"/>
      <c r="B44" s="5" t="s">
        <v>87</v>
      </c>
      <c r="C44" t="s">
        <v>42</v>
      </c>
    </row>
    <row r="45" spans="1:8" ht="38.25" x14ac:dyDescent="0.2">
      <c r="A45" s="7"/>
      <c r="B45" s="5" t="s">
        <v>88</v>
      </c>
      <c r="C45" t="s">
        <v>43</v>
      </c>
    </row>
    <row r="46" spans="1:8" ht="38.25" x14ac:dyDescent="0.2">
      <c r="A46" s="7" t="s">
        <v>154</v>
      </c>
      <c r="B46" s="5" t="s">
        <v>73</v>
      </c>
      <c r="C46" t="s">
        <v>44</v>
      </c>
      <c r="D46" s="1" t="s">
        <v>1884</v>
      </c>
      <c r="E46" s="1" t="s">
        <v>1872</v>
      </c>
    </row>
    <row r="47" spans="1:8" ht="12.75" x14ac:dyDescent="0.2">
      <c r="A47" s="7" t="s">
        <v>155</v>
      </c>
      <c r="B47" s="5" t="s">
        <v>45</v>
      </c>
      <c r="C47" t="s">
        <v>45</v>
      </c>
    </row>
    <row r="48" spans="1:8" ht="38.25" x14ac:dyDescent="0.2">
      <c r="A48" s="7" t="s">
        <v>156</v>
      </c>
      <c r="B48" s="5" t="s">
        <v>89</v>
      </c>
      <c r="C48" t="s">
        <v>46</v>
      </c>
    </row>
    <row r="49" spans="1:3" ht="25.5" x14ac:dyDescent="0.2">
      <c r="A49" s="7"/>
      <c r="B49" s="5" t="s">
        <v>90</v>
      </c>
      <c r="C49" t="s">
        <v>47</v>
      </c>
    </row>
    <row r="50" spans="1:3" ht="38.25" x14ac:dyDescent="0.2">
      <c r="A50" s="7"/>
      <c r="B50" s="5" t="s">
        <v>91</v>
      </c>
      <c r="C50" t="s">
        <v>48</v>
      </c>
    </row>
    <row r="51" spans="1:3" ht="25.5" x14ac:dyDescent="0.2">
      <c r="A51" s="7"/>
      <c r="B51" s="5" t="s">
        <v>92</v>
      </c>
      <c r="C51" t="s">
        <v>49</v>
      </c>
    </row>
    <row r="52" spans="1:3" ht="25.5" x14ac:dyDescent="0.2">
      <c r="A52" s="7"/>
      <c r="B52" s="5" t="s">
        <v>93</v>
      </c>
      <c r="C52" t="s">
        <v>50</v>
      </c>
    </row>
    <row r="53" spans="1:3" ht="25.5" x14ac:dyDescent="0.2">
      <c r="A53" s="7" t="s">
        <v>157</v>
      </c>
      <c r="B53" s="5" t="s">
        <v>94</v>
      </c>
      <c r="C53" t="s">
        <v>51</v>
      </c>
    </row>
    <row r="54" spans="1:3" ht="25.5" x14ac:dyDescent="0.2">
      <c r="A54" s="7" t="s">
        <v>158</v>
      </c>
      <c r="B54" s="5" t="s">
        <v>95</v>
      </c>
      <c r="C54" t="s">
        <v>52</v>
      </c>
    </row>
    <row r="55" spans="1:3" ht="12.75" x14ac:dyDescent="0.2">
      <c r="A55" s="7" t="s">
        <v>159</v>
      </c>
      <c r="B55" s="5" t="s">
        <v>96</v>
      </c>
      <c r="C55" t="s">
        <v>53</v>
      </c>
    </row>
    <row r="56" spans="1:3" ht="12.75" x14ac:dyDescent="0.2">
      <c r="A56" s="7"/>
      <c r="B56" s="5" t="s">
        <v>97</v>
      </c>
      <c r="C56" t="s">
        <v>54</v>
      </c>
    </row>
    <row r="57" spans="1:3" ht="12.75" x14ac:dyDescent="0.2">
      <c r="A57" s="7"/>
      <c r="B57" s="5" t="s">
        <v>98</v>
      </c>
      <c r="C57" t="s">
        <v>55</v>
      </c>
    </row>
    <row r="58" spans="1:3" ht="12.75" x14ac:dyDescent="0.2">
      <c r="A58" s="7"/>
      <c r="B58" s="5" t="s">
        <v>99</v>
      </c>
      <c r="C58" t="s">
        <v>56</v>
      </c>
    </row>
    <row r="59" spans="1:3" ht="12.75" x14ac:dyDescent="0.2">
      <c r="A59" s="7"/>
      <c r="B59" s="5" t="s">
        <v>100</v>
      </c>
      <c r="C59" t="s">
        <v>57</v>
      </c>
    </row>
    <row r="60" spans="1:3" ht="15" customHeight="1" x14ac:dyDescent="0.2">
      <c r="B60" s="6"/>
    </row>
    <row r="61" spans="1:3" ht="15" customHeight="1" x14ac:dyDescent="0.2">
      <c r="B61" s="6"/>
    </row>
    <row r="62" spans="1:3" ht="15" customHeight="1" x14ac:dyDescent="0.2">
      <c r="B62" s="6"/>
    </row>
    <row r="63" spans="1:3" ht="15" customHeight="1" x14ac:dyDescent="0.2">
      <c r="B63" s="6"/>
    </row>
    <row r="64" spans="1:3" ht="15" customHeight="1" x14ac:dyDescent="0.2">
      <c r="B64" s="6"/>
    </row>
    <row r="65" spans="2:2" ht="15" customHeight="1" x14ac:dyDescent="0.2">
      <c r="B65" s="6"/>
    </row>
    <row r="66" spans="2:2" ht="15" customHeight="1" x14ac:dyDescent="0.2">
      <c r="B66" s="6"/>
    </row>
    <row r="67" spans="2:2" ht="15" customHeight="1" x14ac:dyDescent="0.2">
      <c r="B67" s="6"/>
    </row>
    <row r="68" spans="2:2" ht="15" customHeight="1" x14ac:dyDescent="0.2">
      <c r="B68" s="6"/>
    </row>
    <row r="69" spans="2:2" ht="15" customHeight="1" x14ac:dyDescent="0.2">
      <c r="B69" s="6"/>
    </row>
    <row r="70" spans="2:2" ht="15" customHeight="1" x14ac:dyDescent="0.2">
      <c r="B70" s="6"/>
    </row>
    <row r="71" spans="2:2" ht="15" customHeight="1" x14ac:dyDescent="0.2">
      <c r="B71" s="6"/>
    </row>
    <row r="72" spans="2:2" ht="15" customHeight="1" x14ac:dyDescent="0.2">
      <c r="B72" s="6"/>
    </row>
    <row r="73" spans="2:2" ht="15" customHeight="1" x14ac:dyDescent="0.2">
      <c r="B73" s="6"/>
    </row>
    <row r="74" spans="2:2" ht="15" customHeight="1" x14ac:dyDescent="0.2">
      <c r="B74" s="6"/>
    </row>
    <row r="75" spans="2:2" ht="15" customHeight="1" x14ac:dyDescent="0.2">
      <c r="B75" s="6"/>
    </row>
    <row r="76" spans="2:2" ht="15" customHeight="1" x14ac:dyDescent="0.2">
      <c r="B76" s="6"/>
    </row>
    <row r="77" spans="2:2" ht="15" customHeight="1" x14ac:dyDescent="0.2">
      <c r="B77" s="6"/>
    </row>
    <row r="78" spans="2:2" ht="15" customHeight="1" x14ac:dyDescent="0.2">
      <c r="B78" s="6"/>
    </row>
    <row r="79" spans="2:2" ht="15" customHeight="1" x14ac:dyDescent="0.2">
      <c r="B79" s="6"/>
    </row>
    <row r="80" spans="2:2" ht="15" customHeight="1" x14ac:dyDescent="0.2">
      <c r="B80" s="6"/>
    </row>
    <row r="81" spans="2:2" ht="15" customHeight="1" x14ac:dyDescent="0.2">
      <c r="B81" s="6"/>
    </row>
    <row r="82" spans="2:2" ht="15" customHeight="1" x14ac:dyDescent="0.2">
      <c r="B82" s="6"/>
    </row>
    <row r="83" spans="2:2" ht="15" customHeight="1" x14ac:dyDescent="0.2">
      <c r="B83" s="6"/>
    </row>
    <row r="84" spans="2:2" ht="15" customHeight="1" x14ac:dyDescent="0.2">
      <c r="B84" s="6"/>
    </row>
    <row r="85" spans="2:2" ht="15" customHeight="1" x14ac:dyDescent="0.2">
      <c r="B85" s="6"/>
    </row>
    <row r="86" spans="2:2" ht="15" customHeight="1" x14ac:dyDescent="0.2">
      <c r="B86" s="6"/>
    </row>
    <row r="87" spans="2:2" ht="15" customHeight="1" x14ac:dyDescent="0.2">
      <c r="B87" s="6"/>
    </row>
    <row r="88" spans="2:2" ht="15" customHeight="1" x14ac:dyDescent="0.2">
      <c r="B88" s="6"/>
    </row>
    <row r="89" spans="2:2" ht="15" customHeight="1" x14ac:dyDescent="0.2">
      <c r="B89" s="6"/>
    </row>
  </sheetData>
  <pageMargins left="0.7" right="0.7" top="0.75" bottom="0.75" header="0.3" footer="0.3"/>
  <pageSetup orientation="portrait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TemplafyTemplateConfiguration><![CDATA[{"transformationConfigurations":[],"templateName":"ERM_Blank_template","templateDescription":"","enableDocumentContentUpdater":false,"version":"2.0"}]]></TemplafyTemplateConfiguration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1E7E412DBF6D4E94DC157469D566B4" ma:contentTypeVersion="14" ma:contentTypeDescription="Create a new document." ma:contentTypeScope="" ma:versionID="f380f332f39041506879437866228733">
  <xsd:schema xmlns:xsd="http://www.w3.org/2001/XMLSchema" xmlns:xs="http://www.w3.org/2001/XMLSchema" xmlns:p="http://schemas.microsoft.com/office/2006/metadata/properties" xmlns:ns2="ecc53743-2d79-42f7-a97b-788fa02eb0b7" xmlns:ns3="6efd9bda-5fdd-49f3-9692-c2f57a8f124d" xmlns:ns4="3b673873-1712-446f-bb05-7e1905a978bd" targetNamespace="http://schemas.microsoft.com/office/2006/metadata/properties" ma:root="true" ma:fieldsID="f8dc1d24fba5c7f6ec675e0374d9165b" ns2:_="" ns3:_="" ns4:_="">
    <xsd:import namespace="ecc53743-2d79-42f7-a97b-788fa02eb0b7"/>
    <xsd:import namespace="6efd9bda-5fdd-49f3-9692-c2f57a8f124d"/>
    <xsd:import namespace="3b673873-1712-446f-bb05-7e1905a978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4:SharedWithUsers" minOccurs="0"/>
                <xsd:element ref="ns4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c53743-2d79-42f7-a97b-788fa02eb0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cf98923-f688-424c-b29d-669cd34813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fd9bda-5fdd-49f3-9692-c2f57a8f124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a4ecc4f-cbfa-4c5d-be97-a84f3cc7a2f6}" ma:internalName="TaxCatchAll" ma:showField="CatchAllData" ma:web="9273069c-9205-492e-9143-70b2ed0bf7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73873-1712-446f-bb05-7e1905a978b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fd9bda-5fdd-49f3-9692-c2f57a8f124d" xsi:nil="true"/>
    <lcf76f155ced4ddcb4097134ff3c332f xmlns="ecc53743-2d79-42f7-a97b-788fa02eb0b7">
      <Terms xmlns="http://schemas.microsoft.com/office/infopath/2007/PartnerControls"/>
    </lcf76f155ced4ddcb4097134ff3c332f>
  </documentManagement>
</p:properties>
</file>

<file path=customXml/item4.xml><?xml version="1.0" encoding="utf-8"?>
<TemplafyFormConfiguration><![CDATA[{"formFields":[],"formDataEntries":[]}]]></TemplafyFormConfiguration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Props1.xml><?xml version="1.0" encoding="utf-8"?>
<ds:datastoreItem xmlns:ds="http://schemas.openxmlformats.org/officeDocument/2006/customXml" ds:itemID="{3C4A0877-99A5-481F-91A0-664D5863CC14}">
  <ds:schemaRefs/>
</ds:datastoreItem>
</file>

<file path=customXml/itemProps2.xml><?xml version="1.0" encoding="utf-8"?>
<ds:datastoreItem xmlns:ds="http://schemas.openxmlformats.org/officeDocument/2006/customXml" ds:itemID="{1D7645B7-5187-4AFE-8F83-FA95A5BEC6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c53743-2d79-42f7-a97b-788fa02eb0b7"/>
    <ds:schemaRef ds:uri="6efd9bda-5fdd-49f3-9692-c2f57a8f124d"/>
    <ds:schemaRef ds:uri="3b673873-1712-446f-bb05-7e1905a978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141611-F455-43D2-9AC5-4C2C2BDED491}">
  <ds:schemaRefs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  <ds:schemaRef ds:uri="6efd9bda-5fdd-49f3-9692-c2f57a8f124d"/>
    <ds:schemaRef ds:uri="3b673873-1712-446f-bb05-7e1905a978bd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ecc53743-2d79-42f7-a97b-788fa02eb0b7"/>
  </ds:schemaRefs>
</ds:datastoreItem>
</file>

<file path=customXml/itemProps4.xml><?xml version="1.0" encoding="utf-8"?>
<ds:datastoreItem xmlns:ds="http://schemas.openxmlformats.org/officeDocument/2006/customXml" ds:itemID="{F8EC40AC-B302-4A69-BF1C-9561DB48FA4D}">
  <ds:schemaRefs/>
</ds:datastoreItem>
</file>

<file path=customXml/itemProps5.xml><?xml version="1.0" encoding="utf-8"?>
<ds:datastoreItem xmlns:ds="http://schemas.openxmlformats.org/officeDocument/2006/customXml" ds:itemID="{6FFF64D8-AE69-45BD-BBCD-BA8463239862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5C497D7C-2D44-4DB7-BE9A-86280142F9C4}">
  <ds:schemaRefs>
    <ds:schemaRef ds:uri="http://schemas.microsoft.com/office/2006/metadata/customXsn"/>
  </ds:schemaRefs>
</ds:datastoreItem>
</file>

<file path=docMetadata/LabelInfo.xml><?xml version="1.0" encoding="utf-8"?>
<clbl:labelList xmlns:clbl="http://schemas.microsoft.com/office/2020/mipLabelMetadata">
  <clbl:label id="{a6c0d0a6-a4b9-4802-9a97-568759608577}" enabled="1" method="Standard" siteId="{f2fe6bd3-9c4a-485b-ae69-e18820a8813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remap_guide-analyte</vt:lpstr>
      <vt:lpstr>remap_guide-anl_method</vt:lpstr>
      <vt:lpstr>remap_guide-matrix</vt:lpstr>
      <vt:lpstr>remap_guide-units</vt:lpstr>
      <vt:lpstr>remap_guide-sample_type</vt:lpstr>
      <vt:lpstr>mapping_def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 Bottum</dc:creator>
  <cp:keywords/>
  <dc:description/>
  <cp:lastModifiedBy>Anna Bottum</cp:lastModifiedBy>
  <cp:revision/>
  <dcterms:created xsi:type="dcterms:W3CDTF">2025-04-28T16:52:02Z</dcterms:created>
  <dcterms:modified xsi:type="dcterms:W3CDTF">2026-03-05T02:06:00Z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0x010100C11E7E412DBF6D4E94DC157469D566B4</vt:lpwstr>
  </property>
  <property fmtid="{D5CDD505-2E9C-101B-9397-08002B2CF9AE}" pid="3" name="MediaServiceImageTags">
    <vt:lpwstr/>
  </property>
  <property fmtid="{D5CDD505-2E9C-101B-9397-08002B2CF9AE}" pid="4" name="TemplafyTenantId">
    <vt:lpwstr>erm</vt:lpwstr>
  </property>
  <property fmtid="{D5CDD505-2E9C-101B-9397-08002B2CF9AE}" pid="5" name="TemplafyTemplateId">
    <vt:lpwstr>985871303673119436</vt:lpwstr>
  </property>
  <property fmtid="{D5CDD505-2E9C-101B-9397-08002B2CF9AE}" pid="6" name="TemplafyUserProfileId">
    <vt:lpwstr>727677549865336884</vt:lpwstr>
  </property>
  <property fmtid="{D5CDD505-2E9C-101B-9397-08002B2CF9AE}" pid="7" name="TemplafyFromBlank">
    <vt:bool>true</vt:bool>
  </property>
</Properties>
</file>